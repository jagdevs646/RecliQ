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utive Summary" sheetId="1" state="visible" r:id="rId1"/>
    <sheet xmlns:r="http://schemas.openxmlformats.org/officeDocument/2006/relationships" name="02 Exceptions" sheetId="2" state="visible" r:id="rId2"/>
    <sheet xmlns:r="http://schemas.openxmlformats.org/officeDocument/2006/relationships" name="03 Matched Records" sheetId="3" state="visible" r:id="rId3"/>
    <sheet xmlns:r="http://schemas.openxmlformats.org/officeDocument/2006/relationships" name="04 Missing - RecliQ_Universal_R" sheetId="4" state="visible" r:id="rId4"/>
    <sheet xmlns:r="http://schemas.openxmlformats.org/officeDocument/2006/relationships" name="05 Missing - RecliQ_Universal_R" sheetId="5" state="visible" r:id="rId5"/>
    <sheet xmlns:r="http://schemas.openxmlformats.org/officeDocument/2006/relationships" name="06 Field Differences" sheetId="6" state="visible" r:id="rId6"/>
    <sheet xmlns:r="http://schemas.openxmlformats.org/officeDocument/2006/relationships" name="07 Control Checks" sheetId="7" state="visible" r:id="rId7"/>
  </sheets>
  <definedNames>
    <definedName name="_xlnm._FilterDatabase" localSheetId="1" hidden="1">'02 Exceptions'!$A$4:$K$38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1F3864"/>
      <sz val="12"/>
    </font>
    <font>
      <name val="Arial"/>
      <b val="1"/>
      <color rgb="00595959"/>
      <sz val="8"/>
    </font>
    <font>
      <name val="Arial"/>
      <b val="1"/>
      <color rgb="001F3864"/>
      <sz val="20"/>
    </font>
    <font>
      <name val="Arial"/>
      <b val="1"/>
      <color rgb="001E7B34"/>
      <sz val="20"/>
    </font>
    <font>
      <name val="Arial"/>
      <b val="1"/>
      <color rgb="00B36A00"/>
      <sz val="20"/>
    </font>
    <font>
      <name val="Arial"/>
      <b val="1"/>
      <color rgb="00A6192E"/>
      <sz val="20"/>
    </font>
    <font>
      <name val="Arial"/>
      <color rgb="00595959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sz val="9.5"/>
    </font>
    <font>
      <name val="Arial"/>
      <b val="1"/>
      <color rgb="001F3864"/>
      <sz val="13"/>
    </font>
    <font>
      <name val="Arial"/>
      <color rgb="00595959"/>
      <sz val="9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3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12" fillId="0" borderId="1" pivotButton="0" quotePrefix="0" xfId="0"/>
    <xf numFmtId="3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3" fontId="1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4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1E7B34"/>
        <sz val="9"/>
      </font>
      <fill>
        <patternFill patternType="solid">
          <fgColor rgb="00D5F5E3"/>
          <bgColor rgb="00D5F5E3"/>
        </patternFill>
      </fill>
    </dxf>
    <dxf>
      <font>
        <name val="Arial"/>
        <b val="1"/>
        <color rgb="00C0392B"/>
        <sz val="9"/>
      </font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Reconciliation Outcome</a:t>
            </a:r>
          </a:p>
        </rich>
      </tx>
    </title>
    <plotArea>
      <doughnutChart>
        <varyColors val="1"/>
        <ser>
          <idx val="0"/>
          <order val="0"/>
          <tx>
            <strRef>
              <f>'01 Executive Summary'!C10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E7B3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36A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6192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0C1E"/>
              </a:solidFill>
              <a:ln xmlns:a="http://schemas.openxmlformats.org/drawingml/2006/main">
                <a:prstDash val="solid"/>
              </a:ln>
            </spPr>
          </dPt>
          <cat>
            <numRef>
              <f>'01 Executive Summary'!$B$11:$B$14</f>
            </numRef>
          </cat>
          <val>
            <numRef>
              <f>'01 Executive Summary'!$C$11:$C$14</f>
            </numRef>
          </val>
        </ser>
        <firstSliceAng val="0"/>
        <holeSize val="50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Field-Level Mismatches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Executive Summary'!D25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'01 Executive Summary'!$B$26:$B$31</f>
            </numRef>
          </cat>
          <val>
            <numRef>
              <f>'01 Executive Summary'!$D$26:$D$31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612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612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issing_04MissingRecliQ_Univer" displayName="Missing_04MissingRecliQ_Univer" ref="A4:S8" headerRowCount="1">
  <autoFilter ref="A4:S8"/>
  <tableColumns count="19">
    <tableColumn id="1" name="NORM_DOCUMENT NUMBER"/>
    <tableColumn id="2" name="BASE AMOUNT"/>
    <tableColumn id="3" name="GROSS AMOUNT"/>
    <tableColumn id="4" name="DOCUMENT NUMBER"/>
    <tableColumn id="5" name="POSTING DATE"/>
    <tableColumn id="6" name="SUPPLIER"/>
    <tableColumn id="7" name="TAX AMOUNT"/>
    <tableColumn id="8" name="STATUS"/>
    <tableColumn id="9" name="PORTAL REFERENCE"/>
    <tableColumn id="10" name="CATEGORY"/>
    <tableColumn id="11" name="__SOURCE_FILE__"/>
    <tableColumn id="12" name="__SOURCE_SHEET__"/>
    <tableColumn id="13" name="__SOURCE_ROW__"/>
    <tableColumn id="14" name="NORM_POSTING DATE"/>
    <tableColumn id="15" name="NORM_SUPPLIER"/>
    <tableColumn id="16" name="NORM_BASE AMOUNT"/>
    <tableColumn id="17" name="NORM_GROSS AMOUNT"/>
    <tableColumn id="18" name="__GROUP_COUNT__"/>
    <tableColumn id="19" name="RecliQ_Universal_Reconciliation_Master_Test - portal.xlsx Row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Missing_05MissingRecliQ_Univer" displayName="Missing_05MissingRecliQ_Univer" ref="A4:R6" headerRowCount="1">
  <autoFilter ref="A4:R6"/>
  <tableColumns count="18">
    <tableColumn id="1" name="NORM_INVOICE NO"/>
    <tableColumn id="2" name="TAXABLE VALUE"/>
    <tableColumn id="3" name="TOTAL BOOK VALUE"/>
    <tableColumn id="4" name="INVOICE NO"/>
    <tableColumn id="5" name="INVOICE DATE"/>
    <tableColumn id="6" name="VENDOR NAME"/>
    <tableColumn id="7" name="GST"/>
    <tableColumn id="8" name="DEPARTMENT"/>
    <tableColumn id="9" name="PO REFERENCE"/>
    <tableColumn id="10" name="__SOURCE_FILE__"/>
    <tableColumn id="11" name="__SOURCE_SHEET__"/>
    <tableColumn id="12" name="__SOURCE_ROW__"/>
    <tableColumn id="13" name="NORM_INVOICE DATE"/>
    <tableColumn id="14" name="NORM_VENDOR NAME"/>
    <tableColumn id="15" name="NORM_TAXABLE VALUE"/>
    <tableColumn id="16" name="NORM_TOTAL BOOK VALUE"/>
    <tableColumn id="17" name="__GROUP_COUNT__"/>
    <tableColumn id="18" name="RecliQ_Universal_Reconciliation_Master_Test - Book.xlsx Row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N45"/>
  <sheetViews>
    <sheetView showGridLines="0" workbookViewId="0">
      <selection activeCell="A1" sqref="A1"/>
    </sheetView>
  </sheetViews>
  <sheetFormatPr baseColWidth="8" defaultRowHeight="15"/>
  <cols>
    <col width="2.44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.44" customWidth="1" min="14" max="14"/>
  </cols>
  <sheetData>
    <row r="1" ht="33.75" customHeight="1">
      <c r="B1" s="1" t="inlineStr">
        <is>
          <t>RECLIQ  |  RECONCILIATION EXECUTIVE SUMMARY</t>
        </is>
      </c>
    </row>
    <row r="2" ht="19.5" customHeight="1">
      <c r="B2" s="2" t="inlineStr">
        <is>
          <t>RecliQ_Universal_Reconciliation_Master_Test - Book.xlsx  vs.  RecliQ_Universal_Reconciliation_Master_Test - portal.xlsx     •     Matching Key: INVOICE NO     •     Report Generated: September 06, 2026</t>
        </is>
      </c>
    </row>
    <row r="4" ht="21.75" customHeight="1">
      <c r="B4" s="3" t="inlineStr">
        <is>
          <t>KEY METRICS</t>
        </is>
      </c>
    </row>
    <row r="5" ht="15.75" customHeight="1">
      <c r="B5" s="4" t="inlineStr">
        <is>
          <t>TOTAL RECORDS IN SCOPE</t>
        </is>
      </c>
      <c r="C5" s="5" t="n"/>
      <c r="D5" s="4" t="inlineStr">
        <is>
          <t>MATCHED</t>
        </is>
      </c>
      <c r="E5" s="5" t="n"/>
      <c r="F5" s="4" t="inlineStr">
        <is>
          <t>EXCEPTIONS</t>
        </is>
      </c>
      <c r="G5" s="5" t="n"/>
      <c r="H5" s="4" t="inlineStr">
        <is>
          <t>MISSING</t>
        </is>
      </c>
      <c r="I5" s="5" t="n"/>
      <c r="J5" s="4" t="inlineStr">
        <is>
          <t>MATCH RATE</t>
        </is>
      </c>
      <c r="K5" s="5" t="n"/>
      <c r="L5" s="4" t="inlineStr">
        <is>
          <t>EXCEPTION RATE</t>
        </is>
      </c>
      <c r="M5" s="5" t="n"/>
    </row>
    <row r="6" ht="30" customHeight="1">
      <c r="B6" s="6">
        <f>COUNTA('03 Matched Records'!C5:C5)+SUM('02 Exceptions'!L5:L38)+COUNTA('04 Missing - RecliQ_Universal_R'!A5:A8)+COUNTA('05 Missing - RecliQ_Universal_R'!A5:A6)</f>
        <v/>
      </c>
      <c r="C6" s="5" t="n"/>
      <c r="D6" s="7">
        <f>COUNTA('03 Matched Records'!C5:C5)</f>
        <v/>
      </c>
      <c r="E6" s="5" t="n"/>
      <c r="F6" s="8">
        <f>SUM('02 Exceptions'!L5:L38)</f>
        <v/>
      </c>
      <c r="G6" s="5" t="n"/>
      <c r="H6" s="9">
        <f>COUNTA('04 Missing - RecliQ_Universal_R'!A5:A8)+COUNTA('05 Missing - RecliQ_Universal_R'!A5:A6)</f>
        <v/>
      </c>
      <c r="I6" s="5" t="n"/>
      <c r="J6" s="10">
        <f>IF($B$6&gt;0,$D$6/$B$6,0)</f>
        <v/>
      </c>
      <c r="K6" s="5" t="n"/>
      <c r="L6" s="11">
        <f>IF($B$6&gt;0,$F$6/$B$6,0)</f>
        <v/>
      </c>
      <c r="M6" s="5" t="n"/>
    </row>
    <row r="7" ht="15.75" customHeight="1">
      <c r="B7" s="12">
        <f>"Unique INVOICE NO across both files"</f>
        <v/>
      </c>
      <c r="C7" s="13" t="n"/>
      <c r="D7" s="12">
        <f>"of "&amp;$B$6&amp;" records reviewed"</f>
        <v/>
      </c>
      <c r="E7" s="13" t="n"/>
      <c r="F7" s="12">
        <f>(COUNTA('02 Exceptions'!B5:B38))&amp;" field-level mismatch(es)"</f>
        <v/>
      </c>
      <c r="G7" s="13" t="n"/>
      <c r="H7" s="12">
        <f>(COUNTA('04 Missing - RecliQ_Universal_R'!A5:A8))&amp;" + "&amp;(COUNTA('05 Missing - RecliQ_Universal_R'!A5:A6))&amp;" by source"</f>
        <v/>
      </c>
      <c r="I7" s="13" t="n"/>
      <c r="J7" s="12">
        <f>"records matched cleanly"</f>
        <v/>
      </c>
      <c r="K7" s="13" t="n"/>
      <c r="L7" s="12">
        <f>"records need review"</f>
        <v/>
      </c>
      <c r="M7" s="13" t="n"/>
    </row>
    <row r="9" ht="21.75" customHeight="1">
      <c r="B9" s="3" t="inlineStr">
        <is>
          <t>RECONCILIATION OUTCOME</t>
        </is>
      </c>
    </row>
    <row r="10" ht="15.75" customHeight="1">
      <c r="B10" s="14" t="inlineStr">
        <is>
          <t>Category</t>
        </is>
      </c>
      <c r="C10" s="14" t="inlineStr">
        <is>
          <t>Count</t>
        </is>
      </c>
      <c r="D10" s="14" t="inlineStr">
        <is>
          <t>% of Total</t>
        </is>
      </c>
    </row>
    <row r="11">
      <c r="B11" s="15" t="inlineStr">
        <is>
          <t>Matched</t>
        </is>
      </c>
      <c r="C11" s="16">
        <f>$D$6</f>
        <v/>
      </c>
      <c r="D11" s="17">
        <f>C11/$B$6</f>
        <v/>
      </c>
    </row>
    <row r="12">
      <c r="B12" s="18" t="inlineStr">
        <is>
          <t>Exceptions</t>
        </is>
      </c>
      <c r="C12" s="19">
        <f>$F$6</f>
        <v/>
      </c>
      <c r="D12" s="20">
        <f>C12/$B$6</f>
        <v/>
      </c>
    </row>
    <row r="13">
      <c r="B13" s="15" t="inlineStr">
        <is>
          <t>Missing — RecliQ_Universal_Reconciliation_Master_Test - Book.xlsx</t>
        </is>
      </c>
      <c r="C13" s="16">
        <f>COUNTA('04 Missing - RecliQ_Universal_R'!A5:A8)</f>
        <v/>
      </c>
      <c r="D13" s="17">
        <f>C13/$B$6</f>
        <v/>
      </c>
    </row>
    <row r="14">
      <c r="B14" s="18" t="inlineStr">
        <is>
          <t>Missing — RecliQ_Universal_Reconciliation_Master_Test - portal.xlsx</t>
        </is>
      </c>
      <c r="C14" s="19">
        <f>COUNTA('05 Missing - RecliQ_Universal_R'!A5:A6)</f>
        <v/>
      </c>
      <c r="D14" s="20">
        <f>C14/$B$6</f>
        <v/>
      </c>
    </row>
    <row r="15">
      <c r="B15" s="21" t="inlineStr">
        <is>
          <t>Total</t>
        </is>
      </c>
      <c r="C15" s="22">
        <f>SUM(C11:C14)</f>
        <v/>
      </c>
      <c r="D15" s="23">
        <f>SUM(D11:D14)</f>
        <v/>
      </c>
    </row>
    <row r="17" ht="21.75" customHeight="1">
      <c r="B17" s="3" t="inlineStr">
        <is>
          <t>EXCEPTION BREAKDOWN BY TYPE</t>
        </is>
      </c>
    </row>
    <row r="18" ht="15.75" customHeight="1">
      <c r="B18" s="14" t="inlineStr">
        <is>
          <t>Exception Type</t>
        </is>
      </c>
      <c r="C18" s="14" t="inlineStr">
        <is>
          <t>Count</t>
        </is>
      </c>
      <c r="D18" s="14" t="inlineStr">
        <is>
          <t>% of Total</t>
        </is>
      </c>
    </row>
    <row r="19">
      <c r="B19" s="15" t="inlineStr">
        <is>
          <t>Value Difference</t>
        </is>
      </c>
      <c r="C19" s="16">
        <f>COUNTIFS('02 Exceptions'!$H$5:$H$38,"Value Difference")</f>
        <v/>
      </c>
      <c r="D19" s="17">
        <f>C19/SUM($C$19:$C$22)</f>
        <v/>
      </c>
    </row>
    <row r="20">
      <c r="B20" s="18" t="inlineStr">
        <is>
          <t>Text Difference</t>
        </is>
      </c>
      <c r="C20" s="19">
        <f>COUNTIFS('02 Exceptions'!$H$5:$H$38,"Text Difference")</f>
        <v/>
      </c>
      <c r="D20" s="20">
        <f>C20/SUM($C$19:$C$22)</f>
        <v/>
      </c>
    </row>
    <row r="21">
      <c r="B21" s="15" t="inlineStr">
        <is>
          <t>Missing — RecliQ_Universal_Reconciliation_Master_Test - Book.xlsx</t>
        </is>
      </c>
      <c r="C21" s="16">
        <f>COUNTA('04 Missing - RecliQ_Universal_R'!A5:A8)</f>
        <v/>
      </c>
      <c r="D21" s="17">
        <f>C21/SUM($C$19:$C$22)</f>
        <v/>
      </c>
    </row>
    <row r="22">
      <c r="B22" s="18" t="inlineStr">
        <is>
          <t>Missing — RecliQ_Universal_Reconciliation_Master_Test - portal.xlsx</t>
        </is>
      </c>
      <c r="C22" s="19">
        <f>COUNTA('05 Missing - RecliQ_Universal_R'!A5:A6)</f>
        <v/>
      </c>
      <c r="D22" s="20">
        <f>C22/SUM($C$19:$C$22)</f>
        <v/>
      </c>
    </row>
    <row r="24" ht="21.75" customHeight="1">
      <c r="B24" s="3" t="inlineStr">
        <is>
          <t>FIELD-LEVEL PERFORMANCE</t>
        </is>
      </c>
    </row>
    <row r="25" ht="15.75" customHeight="1">
      <c r="B25" s="14" t="inlineStr">
        <is>
          <t>Field</t>
        </is>
      </c>
      <c r="C25" s="14" t="inlineStr">
        <is>
          <t>Matched</t>
        </is>
      </c>
      <c r="D25" s="14" t="inlineStr">
        <is>
          <t>Mismatches</t>
        </is>
      </c>
      <c r="E25" s="14" t="inlineStr">
        <is>
          <t>Match Rate</t>
        </is>
      </c>
    </row>
    <row r="26">
      <c r="B26" s="15" t="inlineStr">
        <is>
          <t>VENDOR NAME</t>
        </is>
      </c>
      <c r="C26" s="16">
        <f>$D$6</f>
        <v/>
      </c>
      <c r="D26" s="16">
        <f>COUNTIFS('02 Exceptions'!$C$5:$C$38,B26)</f>
        <v/>
      </c>
      <c r="E26" s="17">
        <f>IF((C26+D26)&gt;0,C26/(C26+D26),0)</f>
        <v/>
      </c>
    </row>
    <row r="27">
      <c r="B27" s="18" t="inlineStr">
        <is>
          <t>TAXABLE VALUE</t>
        </is>
      </c>
      <c r="C27" s="19">
        <f>$D$6</f>
        <v/>
      </c>
      <c r="D27" s="19">
        <f>COUNTIFS('02 Exceptions'!$C$5:$C$38,B27)</f>
        <v/>
      </c>
      <c r="E27" s="20">
        <f>IF((C27+D27)&gt;0,C27/(C27+D27),0)</f>
        <v/>
      </c>
    </row>
    <row r="28">
      <c r="B28" s="15" t="inlineStr">
        <is>
          <t>GST</t>
        </is>
      </c>
      <c r="C28" s="16">
        <f>$D$6</f>
        <v/>
      </c>
      <c r="D28" s="16">
        <f>COUNTIFS('02 Exceptions'!$C$5:$C$38,B28)</f>
        <v/>
      </c>
      <c r="E28" s="17">
        <f>IF((C28+D28)&gt;0,C28/(C28+D28),0)</f>
        <v/>
      </c>
    </row>
    <row r="29">
      <c r="B29" s="18" t="inlineStr">
        <is>
          <t>INVOICE DATE</t>
        </is>
      </c>
      <c r="C29" s="19">
        <f>$D$6</f>
        <v/>
      </c>
      <c r="D29" s="19">
        <f>COUNTIFS('02 Exceptions'!$C$5:$C$38,B29)</f>
        <v/>
      </c>
      <c r="E29" s="20">
        <f>IF((C29+D29)&gt;0,C29/(C29+D29),0)</f>
        <v/>
      </c>
    </row>
    <row r="30">
      <c r="B30" s="15" t="inlineStr">
        <is>
          <t>TOTAL BOOK VALUE</t>
        </is>
      </c>
      <c r="C30" s="16">
        <f>$D$6</f>
        <v/>
      </c>
      <c r="D30" s="16">
        <f>COUNTIFS('02 Exceptions'!$C$5:$C$38,B30)</f>
        <v/>
      </c>
      <c r="E30" s="17">
        <f>IF((C30+D30)&gt;0,C30/(C30+D30),0)</f>
        <v/>
      </c>
    </row>
    <row r="31">
      <c r="B31" s="18" t="inlineStr">
        <is>
          <t>PO REFERENCE</t>
        </is>
      </c>
      <c r="C31" s="19">
        <f>$D$6</f>
        <v/>
      </c>
      <c r="D31" s="19">
        <f>COUNTIFS('02 Exceptions'!$C$5:$C$38,B31)</f>
        <v/>
      </c>
      <c r="E31" s="20">
        <f>IF((C31+D31)&gt;0,C31/(C31+D31),0)</f>
        <v/>
      </c>
    </row>
    <row r="33" ht="21.75" customHeight="1">
      <c r="B33" s="3" t="inlineStr">
        <is>
          <t>KEY INSIGHTS</t>
        </is>
      </c>
    </row>
    <row r="34" ht="15.75" customHeight="1">
      <c r="B34" s="24">
        <f>"•  "&amp;TEXT($J$6,"0.0%")&amp;" of records matched perfectly ("&amp;$D$6&amp;" of "&amp;$B$6&amp;")."</f>
        <v/>
      </c>
    </row>
    <row r="35" ht="15.75" customHeight="1">
      <c r="B35" s="24">
        <f>"•  "&amp;$F$6&amp;" discrepant record(s) identified ("&amp;(COUNTA('02 Exceptions'!B5:B38))&amp;" field mismatches) — review required."</f>
        <v/>
      </c>
    </row>
    <row r="36" ht="15.75" customHeight="1">
      <c r="B36" s="24">
        <f>"•  "&amp;(COUNTA('04 Missing - RecliQ_Universal_R'!A5:A8)+COUNTA('05 Missing - RecliQ_Universal_R'!A5:A6))&amp;" record(s) missing from one or both sources ("&amp;(COUNTA('04 Missing - RecliQ_Universal_R'!A5:A8))&amp;" RecliQ_Universal_Reconciliation_Master_Test - Book.xlsx, "&amp;(COUNTA('05 Missing - RecliQ_Universal_R'!A5:A6))&amp;" RecliQ_Universal_Reconciliation_Master_Test - portal.xlsx)."</f>
        <v/>
      </c>
    </row>
    <row r="37" ht="15.75" customHeight="1">
      <c r="B37" s="24">
        <f>"•  Field '"&amp;INDEX($B$26:$B$31,MATCH(MAX($D$26:$D$31),$D$26:$D$31,0))&amp;"' has the highest exception count ("&amp;MAX($D$26:$D$31)&amp;")."</f>
        <v/>
      </c>
    </row>
    <row r="39" ht="21.75" customHeight="1">
      <c r="B39" s="3" t="inlineStr">
        <is>
          <t>CONTROL SUMMARY</t>
        </is>
      </c>
    </row>
    <row r="40" ht="15.75" customHeight="1">
      <c r="B40" s="4" t="inlineStr">
        <is>
          <t>Total Records</t>
        </is>
      </c>
      <c r="C40" s="5" t="n"/>
      <c r="D40" s="5" t="n"/>
      <c r="E40" s="4" t="inlineStr">
        <is>
          <t>Outstanding Exceptions</t>
        </is>
      </c>
      <c r="F40" s="5" t="n"/>
      <c r="G40" s="5" t="n"/>
      <c r="H40" s="4" t="inlineStr">
        <is>
          <t>Missing Records</t>
        </is>
      </c>
      <c r="I40" s="5" t="n"/>
      <c r="J40" s="5" t="n"/>
      <c r="K40" s="4" t="inlineStr">
        <is>
          <t>Full Audit Trail</t>
        </is>
      </c>
      <c r="L40" s="5" t="n"/>
      <c r="M40" s="5" t="n"/>
    </row>
    <row r="41" ht="21.75" customHeight="1">
      <c r="B41" s="25">
        <f>$B$6</f>
        <v/>
      </c>
      <c r="C41" s="5" t="n"/>
      <c r="D41" s="5" t="n"/>
      <c r="E41" s="25">
        <f>$F$6</f>
        <v/>
      </c>
      <c r="F41" s="5" t="n"/>
      <c r="G41" s="5" t="n"/>
      <c r="H41" s="25">
        <f>$H$6</f>
        <v/>
      </c>
      <c r="I41" s="5" t="n"/>
      <c r="J41" s="5" t="n"/>
      <c r="K41" s="26" t="inlineStr">
        <is>
          <t>See tab 07</t>
        </is>
      </c>
      <c r="L41" s="5" t="n"/>
      <c r="M41" s="5" t="n"/>
    </row>
    <row r="43">
      <c r="B43" s="27" t="inlineStr">
        <is>
          <t>Full detail, formulas, and audit trail for every figure above are available on tabs 02–07 of this workbook.</t>
        </is>
      </c>
    </row>
    <row r="45">
      <c r="B45" s="28" t="inlineStr">
        <is>
          <t>RecliQ Reconciliation Engine  •  Confidential — Internal Use Only</t>
        </is>
      </c>
    </row>
  </sheetData>
  <mergeCells count="40">
    <mergeCell ref="B37:N37"/>
    <mergeCell ref="K41:M41"/>
    <mergeCell ref="L7:M7"/>
    <mergeCell ref="B7:C7"/>
    <mergeCell ref="J5:K5"/>
    <mergeCell ref="K40:M40"/>
    <mergeCell ref="E40:G40"/>
    <mergeCell ref="F6:G6"/>
    <mergeCell ref="F7:G7"/>
    <mergeCell ref="B43:M43"/>
    <mergeCell ref="D6:E6"/>
    <mergeCell ref="B36:N36"/>
    <mergeCell ref="H6:I6"/>
    <mergeCell ref="J6:K6"/>
    <mergeCell ref="B35:N35"/>
    <mergeCell ref="B4:N4"/>
    <mergeCell ref="F5:G5"/>
    <mergeCell ref="B40:D40"/>
    <mergeCell ref="L5:M5"/>
    <mergeCell ref="B17:F17"/>
    <mergeCell ref="B33:M33"/>
    <mergeCell ref="D7:E7"/>
    <mergeCell ref="E41:G41"/>
    <mergeCell ref="B41:D41"/>
    <mergeCell ref="H7:I7"/>
    <mergeCell ref="B45:M45"/>
    <mergeCell ref="J7:K7"/>
    <mergeCell ref="B2:N2"/>
    <mergeCell ref="B9:F9"/>
    <mergeCell ref="B6:C6"/>
    <mergeCell ref="B24:F24"/>
    <mergeCell ref="L6:M6"/>
    <mergeCell ref="B1:N1"/>
    <mergeCell ref="B5:C5"/>
    <mergeCell ref="H41:J41"/>
    <mergeCell ref="D5:E5"/>
    <mergeCell ref="H5:I5"/>
    <mergeCell ref="H40:J40"/>
    <mergeCell ref="B34:N34"/>
    <mergeCell ref="B39:M3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L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5" customWidth="1" min="1" max="1"/>
    <col width="21.5" customWidth="1" min="2" max="2"/>
    <col width="16" customWidth="1" min="3" max="3"/>
    <col width="20.5" customWidth="1" min="4" max="4"/>
    <col width="20" customWidth="1" min="5" max="5"/>
    <col width="14.5" customWidth="1" min="6" max="6"/>
    <col width="16.5" customWidth="1" min="7" max="7"/>
    <col width="19" customWidth="1" min="8" max="8"/>
    <col width="12.5" customWidth="1" min="9" max="9"/>
    <col width="11.5" customWidth="1" min="10" max="10"/>
    <col width="16.5" customWidth="1" min="11" max="11"/>
    <col width="14.5" customWidth="1" min="12" max="12"/>
  </cols>
  <sheetData>
    <row r="1" ht="19.5" customHeight="1">
      <c r="A1" s="29" t="inlineStr">
        <is>
          <t>Exception Log — Field-Level Mismatches</t>
        </is>
      </c>
    </row>
    <row r="2" ht="15.75" customHeight="1">
      <c r="A2" s="30" t="inlineStr">
        <is>
          <t>Records present in both files where one or more compared fields did not match. One row per field-level mismatch; a record may appear more than once.</t>
        </is>
      </c>
    </row>
    <row r="4" ht="19.5" customHeight="1">
      <c r="A4" s="14" t="inlineStr">
        <is>
          <t>Exception ID</t>
        </is>
      </c>
      <c r="B4" s="14" t="inlineStr">
        <is>
          <t>Match Key (INVOICE NO)</t>
        </is>
      </c>
      <c r="C4" s="14" t="inlineStr">
        <is>
          <t>Field</t>
        </is>
      </c>
      <c r="D4" s="14" t="inlineStr">
        <is>
          <t>RecliQ_Universal_Reconciliation_Master_Test - Book.xlsx Value</t>
        </is>
      </c>
      <c r="E4" s="14" t="inlineStr">
        <is>
          <t>RecliQ_Universal_Reconciliation_Master_Test - portal.xlsx Value</t>
        </is>
      </c>
      <c r="F4" s="14" t="inlineStr">
        <is>
          <t>Difference</t>
        </is>
      </c>
      <c r="G4" s="14" t="inlineStr">
        <is>
          <t>Difference %</t>
        </is>
      </c>
      <c r="H4" s="14" t="inlineStr">
        <is>
          <t>Exception Type</t>
        </is>
      </c>
      <c r="I4" s="14" t="inlineStr">
        <is>
          <t>Severity</t>
        </is>
      </c>
      <c r="J4" s="14" t="inlineStr">
        <is>
          <t>Status</t>
        </is>
      </c>
      <c r="K4" s="14" t="inlineStr">
        <is>
          <t>Action Notes</t>
        </is>
      </c>
      <c r="L4" s="14" t="inlineStr">
        <is>
          <t>Distinct Record</t>
        </is>
      </c>
    </row>
    <row r="5">
      <c r="A5" s="15" t="inlineStr">
        <is>
          <t>EX-000001</t>
        </is>
      </c>
      <c r="B5" s="15" t="inlineStr"/>
      <c r="C5" s="15" t="inlineStr">
        <is>
          <t>PO REFERENCE</t>
        </is>
      </c>
      <c r="D5" s="15" t="inlineStr">
        <is>
          <t>PO-501</t>
        </is>
      </c>
      <c r="E5" s="15" t="inlineStr">
        <is>
          <t>P-9001</t>
        </is>
      </c>
      <c r="F5" s="31" t="n">
        <v>8500</v>
      </c>
      <c r="G5" s="32" t="n"/>
      <c r="H5" s="15" t="inlineStr">
        <is>
          <t>Value Difference</t>
        </is>
      </c>
      <c r="I5" s="15" t="inlineStr">
        <is>
          <t>Critical</t>
        </is>
      </c>
      <c r="J5" s="15" t="inlineStr">
        <is>
          <t>Open</t>
        </is>
      </c>
      <c r="K5" s="15" t="inlineStr"/>
      <c r="L5" s="32">
        <f>IF(COUNTIF($B$5:B5,B5)=1,1,0)</f>
        <v/>
      </c>
    </row>
    <row r="6">
      <c r="A6" s="18" t="inlineStr">
        <is>
          <t>EX-000002</t>
        </is>
      </c>
      <c r="B6" s="18" t="inlineStr"/>
      <c r="C6" s="18" t="inlineStr">
        <is>
          <t>INVOICE DATE</t>
        </is>
      </c>
      <c r="D6" s="18" t="inlineStr">
        <is>
          <t>02-Aug-2026</t>
        </is>
      </c>
      <c r="E6" s="18" t="inlineStr">
        <is>
          <t>2026-08-02</t>
        </is>
      </c>
      <c r="F6" s="33" t="n"/>
      <c r="G6" s="33" t="n"/>
      <c r="H6" s="18" t="inlineStr">
        <is>
          <t>Text Difference</t>
        </is>
      </c>
      <c r="I6" s="18" t="inlineStr">
        <is>
          <t>Medium</t>
        </is>
      </c>
      <c r="J6" s="18" t="inlineStr">
        <is>
          <t>Open</t>
        </is>
      </c>
      <c r="K6" s="18" t="inlineStr"/>
      <c r="L6" s="33">
        <f>IF(COUNTIF($B$5:B6,B6)=1,1,0)</f>
        <v/>
      </c>
    </row>
    <row r="7">
      <c r="A7" s="15" t="inlineStr">
        <is>
          <t>EX-000002</t>
        </is>
      </c>
      <c r="B7" s="15" t="inlineStr"/>
      <c r="C7" s="15" t="inlineStr">
        <is>
          <t>PO REFERENCE</t>
        </is>
      </c>
      <c r="D7" s="15" t="inlineStr">
        <is>
          <t>PO-502</t>
        </is>
      </c>
      <c r="E7" s="15" t="inlineStr">
        <is>
          <t>P-9002</t>
        </is>
      </c>
      <c r="F7" s="31" t="n">
        <v>8500</v>
      </c>
      <c r="G7" s="32" t="n"/>
      <c r="H7" s="15" t="inlineStr">
        <is>
          <t>Value Difference</t>
        </is>
      </c>
      <c r="I7" s="15" t="inlineStr">
        <is>
          <t>Critical</t>
        </is>
      </c>
      <c r="J7" s="15" t="inlineStr">
        <is>
          <t>Open</t>
        </is>
      </c>
      <c r="K7" s="15" t="inlineStr"/>
      <c r="L7" s="32">
        <f>IF(COUNTIF($B$5:B7,B7)=1,1,0)</f>
        <v/>
      </c>
    </row>
    <row r="8">
      <c r="A8" s="18" t="inlineStr">
        <is>
          <t>EX-000003</t>
        </is>
      </c>
      <c r="B8" s="18" t="inlineStr"/>
      <c r="C8" s="18" t="inlineStr">
        <is>
          <t>PO REFERENCE</t>
        </is>
      </c>
      <c r="D8" s="18" t="inlineStr">
        <is>
          <t>PO-503</t>
        </is>
      </c>
      <c r="E8" s="18" t="inlineStr">
        <is>
          <t>P-9003</t>
        </is>
      </c>
      <c r="F8" s="34" t="n">
        <v>8500</v>
      </c>
      <c r="G8" s="33" t="n"/>
      <c r="H8" s="18" t="inlineStr">
        <is>
          <t>Value Difference</t>
        </is>
      </c>
      <c r="I8" s="18" t="inlineStr">
        <is>
          <t>Critical</t>
        </is>
      </c>
      <c r="J8" s="18" t="inlineStr">
        <is>
          <t>Open</t>
        </is>
      </c>
      <c r="K8" s="18" t="inlineStr"/>
      <c r="L8" s="33">
        <f>IF(COUNTIF($B$5:B8,B8)=1,1,0)</f>
        <v/>
      </c>
    </row>
    <row r="9">
      <c r="A9" s="15" t="inlineStr">
        <is>
          <t>EX-000004</t>
        </is>
      </c>
      <c r="B9" s="15" t="inlineStr"/>
      <c r="C9" s="15" t="inlineStr">
        <is>
          <t>INVOICE DATE</t>
        </is>
      </c>
      <c r="D9" s="15" t="inlineStr">
        <is>
          <t>2026/08/04</t>
        </is>
      </c>
      <c r="E9" s="15" t="inlineStr">
        <is>
          <t>04/08/2026</t>
        </is>
      </c>
      <c r="F9" s="31" t="n">
        <v>16178778</v>
      </c>
      <c r="G9" s="32" t="n"/>
      <c r="H9" s="15" t="inlineStr">
        <is>
          <t>Value Difference</t>
        </is>
      </c>
      <c r="I9" s="15" t="inlineStr">
        <is>
          <t>Critical</t>
        </is>
      </c>
      <c r="J9" s="15" t="inlineStr">
        <is>
          <t>Open</t>
        </is>
      </c>
      <c r="K9" s="15" t="inlineStr"/>
      <c r="L9" s="32">
        <f>IF(COUNTIF($B$5:B9,B9)=1,1,0)</f>
        <v/>
      </c>
    </row>
    <row r="10">
      <c r="A10" s="18" t="inlineStr">
        <is>
          <t>EX-000004</t>
        </is>
      </c>
      <c r="B10" s="18" t="inlineStr"/>
      <c r="C10" s="18" t="inlineStr">
        <is>
          <t>PO REFERENCE</t>
        </is>
      </c>
      <c r="D10" s="18" t="inlineStr">
        <is>
          <t>PO-504</t>
        </is>
      </c>
      <c r="E10" s="18" t="inlineStr">
        <is>
          <t>P-9004</t>
        </is>
      </c>
      <c r="F10" s="34" t="n">
        <v>8500</v>
      </c>
      <c r="G10" s="33" t="n"/>
      <c r="H10" s="18" t="inlineStr">
        <is>
          <t>Value Difference</t>
        </is>
      </c>
      <c r="I10" s="18" t="inlineStr">
        <is>
          <t>Critical</t>
        </is>
      </c>
      <c r="J10" s="18" t="inlineStr">
        <is>
          <t>Open</t>
        </is>
      </c>
      <c r="K10" s="18" t="inlineStr"/>
      <c r="L10" s="33">
        <f>IF(COUNTIF($B$5:B10,B10)=1,1,0)</f>
        <v/>
      </c>
    </row>
    <row r="11">
      <c r="A11" s="15" t="inlineStr">
        <is>
          <t>EX-000005</t>
        </is>
      </c>
      <c r="B11" s="15" t="inlineStr"/>
      <c r="C11" s="15" t="inlineStr">
        <is>
          <t>INVOICE DATE</t>
        </is>
      </c>
      <c r="D11" s="15" t="inlineStr">
        <is>
          <t>05-08-2026</t>
        </is>
      </c>
      <c r="E11" s="15" t="inlineStr">
        <is>
          <t>2026-08-05</t>
        </is>
      </c>
      <c r="F11" s="32" t="n"/>
      <c r="G11" s="32" t="n"/>
      <c r="H11" s="15" t="inlineStr">
        <is>
          <t>Text Difference</t>
        </is>
      </c>
      <c r="I11" s="15" t="inlineStr">
        <is>
          <t>Medium</t>
        </is>
      </c>
      <c r="J11" s="15" t="inlineStr">
        <is>
          <t>Open</t>
        </is>
      </c>
      <c r="K11" s="15" t="inlineStr"/>
      <c r="L11" s="32">
        <f>IF(COUNTIF($B$5:B11,B11)=1,1,0)</f>
        <v/>
      </c>
    </row>
    <row r="12">
      <c r="A12" s="18" t="inlineStr">
        <is>
          <t>EX-000005</t>
        </is>
      </c>
      <c r="B12" s="18" t="inlineStr"/>
      <c r="C12" s="18" t="inlineStr">
        <is>
          <t>PO REFERENCE</t>
        </is>
      </c>
      <c r="D12" s="18" t="inlineStr">
        <is>
          <t>PO-505</t>
        </is>
      </c>
      <c r="E12" s="18" t="inlineStr">
        <is>
          <t>P-9005</t>
        </is>
      </c>
      <c r="F12" s="34" t="n">
        <v>8500</v>
      </c>
      <c r="G12" s="33" t="n"/>
      <c r="H12" s="18" t="inlineStr">
        <is>
          <t>Value Difference</t>
        </is>
      </c>
      <c r="I12" s="18" t="inlineStr">
        <is>
          <t>Critical</t>
        </is>
      </c>
      <c r="J12" s="18" t="inlineStr">
        <is>
          <t>Open</t>
        </is>
      </c>
      <c r="K12" s="18" t="inlineStr"/>
      <c r="L12" s="33">
        <f>IF(COUNTIF($B$5:B12,B12)=1,1,0)</f>
        <v/>
      </c>
    </row>
    <row r="13">
      <c r="A13" s="15" t="inlineStr">
        <is>
          <t>EX-000006</t>
        </is>
      </c>
      <c r="B13" s="15" t="inlineStr"/>
      <c r="C13" s="15" t="inlineStr">
        <is>
          <t>INVOICE DATE</t>
        </is>
      </c>
      <c r="D13" s="15" t="inlineStr">
        <is>
          <t>2026-08-06</t>
        </is>
      </c>
      <c r="E13" s="15" t="inlineStr">
        <is>
          <t>06-Aug-2026</t>
        </is>
      </c>
      <c r="F13" s="32" t="n"/>
      <c r="G13" s="32" t="n"/>
      <c r="H13" s="15" t="inlineStr">
        <is>
          <t>Text Difference</t>
        </is>
      </c>
      <c r="I13" s="15" t="inlineStr">
        <is>
          <t>Medium</t>
        </is>
      </c>
      <c r="J13" s="15" t="inlineStr">
        <is>
          <t>Open</t>
        </is>
      </c>
      <c r="K13" s="15" t="inlineStr"/>
      <c r="L13" s="32">
        <f>IF(COUNTIF($B$5:B13,B13)=1,1,0)</f>
        <v/>
      </c>
    </row>
    <row r="14">
      <c r="A14" s="18" t="inlineStr">
        <is>
          <t>EX-000006</t>
        </is>
      </c>
      <c r="B14" s="18" t="inlineStr"/>
      <c r="C14" s="18" t="inlineStr">
        <is>
          <t>PO REFERENCE</t>
        </is>
      </c>
      <c r="D14" s="18" t="inlineStr">
        <is>
          <t>PO-506</t>
        </is>
      </c>
      <c r="E14" s="18" t="inlineStr">
        <is>
          <t>P-9006</t>
        </is>
      </c>
      <c r="F14" s="34" t="n">
        <v>8500</v>
      </c>
      <c r="G14" s="33" t="n"/>
      <c r="H14" s="18" t="inlineStr">
        <is>
          <t>Value Difference</t>
        </is>
      </c>
      <c r="I14" s="18" t="inlineStr">
        <is>
          <t>Critical</t>
        </is>
      </c>
      <c r="J14" s="18" t="inlineStr">
        <is>
          <t>Open</t>
        </is>
      </c>
      <c r="K14" s="18" t="inlineStr"/>
      <c r="L14" s="33">
        <f>IF(COUNTIF($B$5:B14,B14)=1,1,0)</f>
        <v/>
      </c>
    </row>
    <row r="15">
      <c r="A15" s="15" t="inlineStr">
        <is>
          <t>EX-000007</t>
        </is>
      </c>
      <c r="B15" s="15" t="inlineStr"/>
      <c r="C15" s="15" t="inlineStr">
        <is>
          <t>INVOICE DATE</t>
        </is>
      </c>
      <c r="D15" s="15" t="inlineStr">
        <is>
          <t>07/08/2026</t>
        </is>
      </c>
      <c r="E15" s="15" t="inlineStr">
        <is>
          <t>2026/08/07</t>
        </is>
      </c>
      <c r="F15" s="31" t="n">
        <v>-13178781</v>
      </c>
      <c r="G15" s="32" t="n"/>
      <c r="H15" s="15" t="inlineStr">
        <is>
          <t>Value Difference</t>
        </is>
      </c>
      <c r="I15" s="15" t="inlineStr">
        <is>
          <t>Critical</t>
        </is>
      </c>
      <c r="J15" s="15" t="inlineStr">
        <is>
          <t>Open</t>
        </is>
      </c>
      <c r="K15" s="15" t="inlineStr"/>
      <c r="L15" s="32">
        <f>IF(COUNTIF($B$5:B15,B15)=1,1,0)</f>
        <v/>
      </c>
    </row>
    <row r="16">
      <c r="A16" s="18" t="inlineStr">
        <is>
          <t>EX-000007</t>
        </is>
      </c>
      <c r="B16" s="18" t="inlineStr"/>
      <c r="C16" s="18" t="inlineStr">
        <is>
          <t>PO REFERENCE</t>
        </is>
      </c>
      <c r="D16" s="18" t="inlineStr">
        <is>
          <t>PO-507</t>
        </is>
      </c>
      <c r="E16" s="18" t="inlineStr">
        <is>
          <t>P-9007</t>
        </is>
      </c>
      <c r="F16" s="34" t="n">
        <v>8500</v>
      </c>
      <c r="G16" s="33" t="n"/>
      <c r="H16" s="18" t="inlineStr">
        <is>
          <t>Value Difference</t>
        </is>
      </c>
      <c r="I16" s="18" t="inlineStr">
        <is>
          <t>Critical</t>
        </is>
      </c>
      <c r="J16" s="18" t="inlineStr">
        <is>
          <t>Open</t>
        </is>
      </c>
      <c r="K16" s="18" t="inlineStr"/>
      <c r="L16" s="33">
        <f>IF(COUNTIF($B$5:B16,B16)=1,1,0)</f>
        <v/>
      </c>
    </row>
    <row r="17">
      <c r="A17" s="15" t="inlineStr">
        <is>
          <t>EX-000008</t>
        </is>
      </c>
      <c r="B17" s="15" t="inlineStr"/>
      <c r="C17" s="15" t="inlineStr">
        <is>
          <t>INVOICE DATE</t>
        </is>
      </c>
      <c r="D17" s="15" t="inlineStr">
        <is>
          <t>2026-08-08</t>
        </is>
      </c>
      <c r="E17" s="15" t="inlineStr">
        <is>
          <t>08-08-2026</t>
        </is>
      </c>
      <c r="F17" s="32" t="n"/>
      <c r="G17" s="32" t="n"/>
      <c r="H17" s="15" t="inlineStr">
        <is>
          <t>Text Difference</t>
        </is>
      </c>
      <c r="I17" s="15" t="inlineStr">
        <is>
          <t>Medium</t>
        </is>
      </c>
      <c r="J17" s="15" t="inlineStr">
        <is>
          <t>Open</t>
        </is>
      </c>
      <c r="K17" s="15" t="inlineStr"/>
      <c r="L17" s="32">
        <f>IF(COUNTIF($B$5:B17,B17)=1,1,0)</f>
        <v/>
      </c>
    </row>
    <row r="18">
      <c r="A18" s="18" t="inlineStr">
        <is>
          <t>EX-000008</t>
        </is>
      </c>
      <c r="B18" s="18" t="inlineStr"/>
      <c r="C18" s="18" t="inlineStr">
        <is>
          <t>PO REFERENCE</t>
        </is>
      </c>
      <c r="D18" s="18" t="inlineStr">
        <is>
          <t>PO-508</t>
        </is>
      </c>
      <c r="E18" s="18" t="inlineStr">
        <is>
          <t>P-9008</t>
        </is>
      </c>
      <c r="F18" s="34" t="n">
        <v>8500</v>
      </c>
      <c r="G18" s="33" t="n"/>
      <c r="H18" s="18" t="inlineStr">
        <is>
          <t>Value Difference</t>
        </is>
      </c>
      <c r="I18" s="18" t="inlineStr">
        <is>
          <t>Critical</t>
        </is>
      </c>
      <c r="J18" s="18" t="inlineStr">
        <is>
          <t>Open</t>
        </is>
      </c>
      <c r="K18" s="18" t="inlineStr"/>
      <c r="L18" s="33">
        <f>IF(COUNTIF($B$5:B18,B18)=1,1,0)</f>
        <v/>
      </c>
    </row>
    <row r="19">
      <c r="A19" s="15" t="inlineStr">
        <is>
          <t>EX-000009</t>
        </is>
      </c>
      <c r="B19" s="15" t="inlineStr"/>
      <c r="C19" s="15" t="inlineStr">
        <is>
          <t>INVOICE DATE</t>
        </is>
      </c>
      <c r="D19" s="15" t="inlineStr">
        <is>
          <t>09-Aug-2026</t>
        </is>
      </c>
      <c r="E19" s="15" t="inlineStr">
        <is>
          <t>2026-08-09</t>
        </is>
      </c>
      <c r="F19" s="32" t="n"/>
      <c r="G19" s="32" t="n"/>
      <c r="H19" s="15" t="inlineStr">
        <is>
          <t>Text Difference</t>
        </is>
      </c>
      <c r="I19" s="15" t="inlineStr">
        <is>
          <t>Medium</t>
        </is>
      </c>
      <c r="J19" s="15" t="inlineStr">
        <is>
          <t>Open</t>
        </is>
      </c>
      <c r="K19" s="15" t="inlineStr"/>
      <c r="L19" s="32">
        <f>IF(COUNTIF($B$5:B19,B19)=1,1,0)</f>
        <v/>
      </c>
    </row>
    <row r="20">
      <c r="A20" s="18" t="inlineStr">
        <is>
          <t>EX-000009</t>
        </is>
      </c>
      <c r="B20" s="18" t="inlineStr"/>
      <c r="C20" s="18" t="inlineStr">
        <is>
          <t>PO REFERENCE</t>
        </is>
      </c>
      <c r="D20" s="18" t="inlineStr">
        <is>
          <t>PO-509</t>
        </is>
      </c>
      <c r="E20" s="18" t="inlineStr">
        <is>
          <t>P-9009</t>
        </is>
      </c>
      <c r="F20" s="34" t="n">
        <v>8500</v>
      </c>
      <c r="G20" s="33" t="n"/>
      <c r="H20" s="18" t="inlineStr">
        <is>
          <t>Value Difference</t>
        </is>
      </c>
      <c r="I20" s="18" t="inlineStr">
        <is>
          <t>Critical</t>
        </is>
      </c>
      <c r="J20" s="18" t="inlineStr">
        <is>
          <t>Open</t>
        </is>
      </c>
      <c r="K20" s="18" t="inlineStr"/>
      <c r="L20" s="33">
        <f>IF(COUNTIF($B$5:B20,B20)=1,1,0)</f>
        <v/>
      </c>
    </row>
    <row r="21">
      <c r="A21" s="15" t="inlineStr">
        <is>
          <t>EX-000010</t>
        </is>
      </c>
      <c r="B21" s="15" t="inlineStr"/>
      <c r="C21" s="15" t="inlineStr">
        <is>
          <t>PO REFERENCE</t>
        </is>
      </c>
      <c r="D21" s="15" t="inlineStr">
        <is>
          <t>PO-510</t>
        </is>
      </c>
      <c r="E21" s="15" t="inlineStr">
        <is>
          <t>P-9010</t>
        </is>
      </c>
      <c r="F21" s="31" t="n">
        <v>8500</v>
      </c>
      <c r="G21" s="32" t="n"/>
      <c r="H21" s="15" t="inlineStr">
        <is>
          <t>Value Difference</t>
        </is>
      </c>
      <c r="I21" s="15" t="inlineStr">
        <is>
          <t>Critical</t>
        </is>
      </c>
      <c r="J21" s="15" t="inlineStr">
        <is>
          <t>Open</t>
        </is>
      </c>
      <c r="K21" s="15" t="inlineStr"/>
      <c r="L21" s="32">
        <f>IF(COUNTIF($B$5:B21,B21)=1,1,0)</f>
        <v/>
      </c>
    </row>
    <row r="22">
      <c r="A22" s="18" t="inlineStr">
        <is>
          <t>EX-000011</t>
        </is>
      </c>
      <c r="B22" s="18" t="inlineStr"/>
      <c r="C22" s="18" t="inlineStr">
        <is>
          <t>PO REFERENCE</t>
        </is>
      </c>
      <c r="D22" s="18" t="inlineStr">
        <is>
          <t>PO-511</t>
        </is>
      </c>
      <c r="E22" s="18" t="inlineStr">
        <is>
          <t>P-9011</t>
        </is>
      </c>
      <c r="F22" s="34" t="n">
        <v>8500</v>
      </c>
      <c r="G22" s="33" t="n"/>
      <c r="H22" s="18" t="inlineStr">
        <is>
          <t>Value Difference</t>
        </is>
      </c>
      <c r="I22" s="18" t="inlineStr">
        <is>
          <t>Critical</t>
        </is>
      </c>
      <c r="J22" s="18" t="inlineStr">
        <is>
          <t>Open</t>
        </is>
      </c>
      <c r="K22" s="18" t="inlineStr"/>
      <c r="L22" s="33">
        <f>IF(COUNTIF($B$5:B22,B22)=1,1,0)</f>
        <v/>
      </c>
    </row>
    <row r="23">
      <c r="A23" s="15" t="inlineStr">
        <is>
          <t>EX-000012</t>
        </is>
      </c>
      <c r="B23" s="15" t="inlineStr"/>
      <c r="C23" s="15" t="inlineStr">
        <is>
          <t>INVOICE DATE</t>
        </is>
      </c>
      <c r="D23" s="15" t="inlineStr">
        <is>
          <t>2026-08-12</t>
        </is>
      </c>
      <c r="E23" s="15" t="inlineStr">
        <is>
          <t>12-Aug-2026</t>
        </is>
      </c>
      <c r="F23" s="32" t="n"/>
      <c r="G23" s="32" t="n"/>
      <c r="H23" s="15" t="inlineStr">
        <is>
          <t>Text Difference</t>
        </is>
      </c>
      <c r="I23" s="15" t="inlineStr">
        <is>
          <t>Medium</t>
        </is>
      </c>
      <c r="J23" s="15" t="inlineStr">
        <is>
          <t>Open</t>
        </is>
      </c>
      <c r="K23" s="15" t="inlineStr"/>
      <c r="L23" s="32">
        <f>IF(COUNTIF($B$5:B23,B23)=1,1,0)</f>
        <v/>
      </c>
    </row>
    <row r="24">
      <c r="A24" s="18" t="inlineStr">
        <is>
          <t>EX-000012</t>
        </is>
      </c>
      <c r="B24" s="18" t="inlineStr"/>
      <c r="C24" s="18" t="inlineStr">
        <is>
          <t>PO REFERENCE</t>
        </is>
      </c>
      <c r="D24" s="18" t="inlineStr">
        <is>
          <t>PO-512</t>
        </is>
      </c>
      <c r="E24" s="18" t="inlineStr">
        <is>
          <t>P-9012</t>
        </is>
      </c>
      <c r="F24" s="34" t="n">
        <v>8500</v>
      </c>
      <c r="G24" s="33" t="n"/>
      <c r="H24" s="18" t="inlineStr">
        <is>
          <t>Value Difference</t>
        </is>
      </c>
      <c r="I24" s="18" t="inlineStr">
        <is>
          <t>Critical</t>
        </is>
      </c>
      <c r="J24" s="18" t="inlineStr">
        <is>
          <t>Open</t>
        </is>
      </c>
      <c r="K24" s="18" t="inlineStr"/>
      <c r="L24" s="33">
        <f>IF(COUNTIF($B$5:B24,B24)=1,1,0)</f>
        <v/>
      </c>
    </row>
    <row r="25">
      <c r="A25" s="15" t="inlineStr">
        <is>
          <t>EX-000013</t>
        </is>
      </c>
      <c r="B25" s="15" t="inlineStr"/>
      <c r="C25" s="15" t="inlineStr">
        <is>
          <t>PO REFERENCE</t>
        </is>
      </c>
      <c r="D25" s="15" t="inlineStr">
        <is>
          <t>PO-513</t>
        </is>
      </c>
      <c r="E25" s="15" t="inlineStr">
        <is>
          <t>P-9013</t>
        </is>
      </c>
      <c r="F25" s="31" t="n">
        <v>8500</v>
      </c>
      <c r="G25" s="32" t="n"/>
      <c r="H25" s="15" t="inlineStr">
        <is>
          <t>Value Difference</t>
        </is>
      </c>
      <c r="I25" s="15" t="inlineStr">
        <is>
          <t>Critical</t>
        </is>
      </c>
      <c r="J25" s="15" t="inlineStr">
        <is>
          <t>Open</t>
        </is>
      </c>
      <c r="K25" s="15" t="inlineStr"/>
      <c r="L25" s="32">
        <f>IF(COUNTIF($B$5:B25,B25)=1,1,0)</f>
        <v/>
      </c>
    </row>
    <row r="26">
      <c r="A26" s="18" t="inlineStr">
        <is>
          <t>EX-000014</t>
        </is>
      </c>
      <c r="B26" s="18" t="inlineStr"/>
      <c r="C26" s="18" t="inlineStr">
        <is>
          <t>PO REFERENCE</t>
        </is>
      </c>
      <c r="D26" s="18" t="inlineStr">
        <is>
          <t>PO-514</t>
        </is>
      </c>
      <c r="E26" s="18" t="inlineStr">
        <is>
          <t>P-9014</t>
        </is>
      </c>
      <c r="F26" s="34" t="n">
        <v>8500</v>
      </c>
      <c r="G26" s="33" t="n"/>
      <c r="H26" s="18" t="inlineStr">
        <is>
          <t>Value Difference</t>
        </is>
      </c>
      <c r="I26" s="18" t="inlineStr">
        <is>
          <t>Critical</t>
        </is>
      </c>
      <c r="J26" s="18" t="inlineStr">
        <is>
          <t>Open</t>
        </is>
      </c>
      <c r="K26" s="18" t="inlineStr"/>
      <c r="L26" s="33">
        <f>IF(COUNTIF($B$5:B26,B26)=1,1,0)</f>
        <v/>
      </c>
    </row>
    <row r="27">
      <c r="A27" s="15" t="inlineStr">
        <is>
          <t>EX-000015</t>
        </is>
      </c>
      <c r="B27" s="15" t="inlineStr"/>
      <c r="C27" s="15" t="inlineStr">
        <is>
          <t>PO REFERENCE</t>
        </is>
      </c>
      <c r="D27" s="15" t="inlineStr">
        <is>
          <t>PO-515</t>
        </is>
      </c>
      <c r="E27" s="15" t="inlineStr">
        <is>
          <t>P-9015</t>
        </is>
      </c>
      <c r="F27" s="31" t="n">
        <v>8500</v>
      </c>
      <c r="G27" s="32" t="n"/>
      <c r="H27" s="15" t="inlineStr">
        <is>
          <t>Value Difference</t>
        </is>
      </c>
      <c r="I27" s="15" t="inlineStr">
        <is>
          <t>Critical</t>
        </is>
      </c>
      <c r="J27" s="15" t="inlineStr">
        <is>
          <t>Open</t>
        </is>
      </c>
      <c r="K27" s="15" t="inlineStr"/>
      <c r="L27" s="32">
        <f>IF(COUNTIF($B$5:B27,B27)=1,1,0)</f>
        <v/>
      </c>
    </row>
    <row r="28">
      <c r="A28" s="18" t="inlineStr">
        <is>
          <t>EX-000016</t>
        </is>
      </c>
      <c r="B28" s="18" t="inlineStr"/>
      <c r="C28" s="18" t="inlineStr">
        <is>
          <t>PO REFERENCE</t>
        </is>
      </c>
      <c r="D28" s="18" t="inlineStr">
        <is>
          <t>PO-516</t>
        </is>
      </c>
      <c r="E28" s="18" t="inlineStr">
        <is>
          <t>P-9016</t>
        </is>
      </c>
      <c r="F28" s="34" t="n">
        <v>8500</v>
      </c>
      <c r="G28" s="33" t="n"/>
      <c r="H28" s="18" t="inlineStr">
        <is>
          <t>Value Difference</t>
        </is>
      </c>
      <c r="I28" s="18" t="inlineStr">
        <is>
          <t>Critical</t>
        </is>
      </c>
      <c r="J28" s="18" t="inlineStr">
        <is>
          <t>Open</t>
        </is>
      </c>
      <c r="K28" s="18" t="inlineStr"/>
      <c r="L28" s="33">
        <f>IF(COUNTIF($B$5:B28,B28)=1,1,0)</f>
        <v/>
      </c>
    </row>
    <row r="29">
      <c r="A29" s="15" t="inlineStr">
        <is>
          <t>EX-000017</t>
        </is>
      </c>
      <c r="B29" s="15" t="inlineStr"/>
      <c r="C29" s="15" t="inlineStr">
        <is>
          <t>INVOICE DATE</t>
        </is>
      </c>
      <c r="D29" s="15" t="inlineStr">
        <is>
          <t>17-Aug-2026</t>
        </is>
      </c>
      <c r="E29" s="15" t="inlineStr">
        <is>
          <t>2026-08-17</t>
        </is>
      </c>
      <c r="F29" s="32" t="n"/>
      <c r="G29" s="32" t="n"/>
      <c r="H29" s="15" t="inlineStr">
        <is>
          <t>Text Difference</t>
        </is>
      </c>
      <c r="I29" s="15" t="inlineStr">
        <is>
          <t>Medium</t>
        </is>
      </c>
      <c r="J29" s="15" t="inlineStr">
        <is>
          <t>Open</t>
        </is>
      </c>
      <c r="K29" s="15" t="inlineStr"/>
      <c r="L29" s="32">
        <f>IF(COUNTIF($B$5:B29,B29)=1,1,0)</f>
        <v/>
      </c>
    </row>
    <row r="30">
      <c r="A30" s="18" t="inlineStr">
        <is>
          <t>EX-000017</t>
        </is>
      </c>
      <c r="B30" s="18" t="inlineStr"/>
      <c r="C30" s="18" t="inlineStr">
        <is>
          <t>PO REFERENCE</t>
        </is>
      </c>
      <c r="D30" s="18" t="inlineStr">
        <is>
          <t>PO-517</t>
        </is>
      </c>
      <c r="E30" s="18" t="inlineStr">
        <is>
          <t>P-9017</t>
        </is>
      </c>
      <c r="F30" s="34" t="n">
        <v>8500</v>
      </c>
      <c r="G30" s="33" t="n"/>
      <c r="H30" s="18" t="inlineStr">
        <is>
          <t>Value Difference</t>
        </is>
      </c>
      <c r="I30" s="18" t="inlineStr">
        <is>
          <t>Critical</t>
        </is>
      </c>
      <c r="J30" s="18" t="inlineStr">
        <is>
          <t>Open</t>
        </is>
      </c>
      <c r="K30" s="18" t="inlineStr"/>
      <c r="L30" s="33">
        <f>IF(COUNTIF($B$5:B30,B30)=1,1,0)</f>
        <v/>
      </c>
    </row>
    <row r="31">
      <c r="A31" s="15" t="inlineStr">
        <is>
          <t>EX-000018</t>
        </is>
      </c>
      <c r="B31" s="15" t="inlineStr"/>
      <c r="C31" s="15" t="inlineStr">
        <is>
          <t>PO REFERENCE</t>
        </is>
      </c>
      <c r="D31" s="15" t="inlineStr">
        <is>
          <t>PO-518</t>
        </is>
      </c>
      <c r="E31" s="15" t="inlineStr">
        <is>
          <t>P-9018</t>
        </is>
      </c>
      <c r="F31" s="31" t="n">
        <v>8500</v>
      </c>
      <c r="G31" s="32" t="n"/>
      <c r="H31" s="15" t="inlineStr">
        <is>
          <t>Value Difference</t>
        </is>
      </c>
      <c r="I31" s="15" t="inlineStr">
        <is>
          <t>Critical</t>
        </is>
      </c>
      <c r="J31" s="15" t="inlineStr">
        <is>
          <t>Open</t>
        </is>
      </c>
      <c r="K31" s="15" t="inlineStr"/>
      <c r="L31" s="32">
        <f>IF(COUNTIF($B$5:B31,B31)=1,1,0)</f>
        <v/>
      </c>
    </row>
    <row r="32">
      <c r="A32" s="18" t="inlineStr">
        <is>
          <t>EX-000019</t>
        </is>
      </c>
      <c r="B32" s="18" t="inlineStr"/>
      <c r="C32" s="18" t="inlineStr">
        <is>
          <t>INVOICE DATE</t>
        </is>
      </c>
      <c r="D32" s="18" t="inlineStr">
        <is>
          <t>2026-08-20</t>
        </is>
      </c>
      <c r="E32" s="18" t="inlineStr">
        <is>
          <t>20-Aug-2026</t>
        </is>
      </c>
      <c r="F32" s="33" t="n"/>
      <c r="G32" s="33" t="n"/>
      <c r="H32" s="18" t="inlineStr">
        <is>
          <t>Text Difference</t>
        </is>
      </c>
      <c r="I32" s="18" t="inlineStr">
        <is>
          <t>Medium</t>
        </is>
      </c>
      <c r="J32" s="18" t="inlineStr">
        <is>
          <t>Open</t>
        </is>
      </c>
      <c r="K32" s="18" t="inlineStr"/>
      <c r="L32" s="33">
        <f>IF(COUNTIF($B$5:B32,B32)=1,1,0)</f>
        <v/>
      </c>
    </row>
    <row r="33">
      <c r="A33" s="15" t="inlineStr">
        <is>
          <t>EX-000019</t>
        </is>
      </c>
      <c r="B33" s="15" t="inlineStr"/>
      <c r="C33" s="15" t="inlineStr">
        <is>
          <t>PO REFERENCE</t>
        </is>
      </c>
      <c r="D33" s="15" t="inlineStr">
        <is>
          <t>PO-520</t>
        </is>
      </c>
      <c r="E33" s="15" t="inlineStr">
        <is>
          <t>P-9020</t>
        </is>
      </c>
      <c r="F33" s="31" t="n">
        <v>8500</v>
      </c>
      <c r="G33" s="32" t="n"/>
      <c r="H33" s="15" t="inlineStr">
        <is>
          <t>Value Difference</t>
        </is>
      </c>
      <c r="I33" s="15" t="inlineStr">
        <is>
          <t>Critical</t>
        </is>
      </c>
      <c r="J33" s="15" t="inlineStr">
        <is>
          <t>Open</t>
        </is>
      </c>
      <c r="K33" s="15" t="inlineStr"/>
      <c r="L33" s="32">
        <f>IF(COUNTIF($B$5:B33,B33)=1,1,0)</f>
        <v/>
      </c>
    </row>
    <row r="34">
      <c r="A34" s="18" t="inlineStr">
        <is>
          <t>EX-000020</t>
        </is>
      </c>
      <c r="B34" s="18" t="inlineStr"/>
      <c r="C34" s="18" t="inlineStr">
        <is>
          <t>TAXABLE VALUE</t>
        </is>
      </c>
      <c r="D34" s="34" t="n">
        <v>0</v>
      </c>
      <c r="E34" s="34" t="n">
        <v>4000</v>
      </c>
      <c r="F34" s="34" t="n">
        <v>-4000</v>
      </c>
      <c r="G34" s="35" t="n">
        <v>-1</v>
      </c>
      <c r="H34" s="18" t="inlineStr">
        <is>
          <t>Value Difference</t>
        </is>
      </c>
      <c r="I34" s="18" t="inlineStr">
        <is>
          <t>Critical</t>
        </is>
      </c>
      <c r="J34" s="18" t="inlineStr">
        <is>
          <t>Open</t>
        </is>
      </c>
      <c r="K34" s="18" t="inlineStr"/>
      <c r="L34" s="33">
        <f>IF(COUNTIF($B$5:B34,B34)=1,1,0)</f>
        <v/>
      </c>
    </row>
    <row r="35">
      <c r="A35" s="15" t="inlineStr">
        <is>
          <t>EX-000020</t>
        </is>
      </c>
      <c r="B35" s="15" t="inlineStr"/>
      <c r="C35" s="15" t="inlineStr">
        <is>
          <t>GST</t>
        </is>
      </c>
      <c r="D35" s="31" t="n">
        <v>0</v>
      </c>
      <c r="E35" s="31" t="n">
        <v>720</v>
      </c>
      <c r="F35" s="31" t="n">
        <v>-720</v>
      </c>
      <c r="G35" s="36" t="n">
        <v>-1</v>
      </c>
      <c r="H35" s="15" t="inlineStr">
        <is>
          <t>Value Difference</t>
        </is>
      </c>
      <c r="I35" s="15" t="inlineStr">
        <is>
          <t>High</t>
        </is>
      </c>
      <c r="J35" s="15" t="inlineStr">
        <is>
          <t>Open</t>
        </is>
      </c>
      <c r="K35" s="15" t="inlineStr"/>
      <c r="L35" s="32">
        <f>IF(COUNTIF($B$5:B35,B35)=1,1,0)</f>
        <v/>
      </c>
    </row>
    <row r="36">
      <c r="A36" s="18" t="inlineStr">
        <is>
          <t>EX-000020</t>
        </is>
      </c>
      <c r="B36" s="18" t="inlineStr"/>
      <c r="C36" s="18" t="inlineStr">
        <is>
          <t>TOTAL BOOK VALUE</t>
        </is>
      </c>
      <c r="D36" s="34" t="n">
        <v>0</v>
      </c>
      <c r="E36" s="34" t="n">
        <v>4720</v>
      </c>
      <c r="F36" s="34" t="n">
        <v>-4720</v>
      </c>
      <c r="G36" s="35" t="n">
        <v>-1</v>
      </c>
      <c r="H36" s="18" t="inlineStr">
        <is>
          <t>Value Difference</t>
        </is>
      </c>
      <c r="I36" s="18" t="inlineStr">
        <is>
          <t>Critical</t>
        </is>
      </c>
      <c r="J36" s="18" t="inlineStr">
        <is>
          <t>Open</t>
        </is>
      </c>
      <c r="K36" s="18" t="inlineStr"/>
      <c r="L36" s="33">
        <f>IF(COUNTIF($B$5:B36,B36)=1,1,0)</f>
        <v/>
      </c>
    </row>
    <row r="37">
      <c r="A37" s="15" t="inlineStr">
        <is>
          <t>EX-000020</t>
        </is>
      </c>
      <c r="B37" s="15" t="inlineStr"/>
      <c r="C37" s="15" t="inlineStr">
        <is>
          <t>PO REFERENCE</t>
        </is>
      </c>
      <c r="D37" s="15" t="inlineStr">
        <is>
          <t>PO-522</t>
        </is>
      </c>
      <c r="E37" s="15" t="inlineStr">
        <is>
          <t>P-9022</t>
        </is>
      </c>
      <c r="F37" s="31" t="n">
        <v>8500</v>
      </c>
      <c r="G37" s="32" t="n"/>
      <c r="H37" s="15" t="inlineStr">
        <is>
          <t>Value Difference</t>
        </is>
      </c>
      <c r="I37" s="15" t="inlineStr">
        <is>
          <t>Critical</t>
        </is>
      </c>
      <c r="J37" s="15" t="inlineStr">
        <is>
          <t>Open</t>
        </is>
      </c>
      <c r="K37" s="15" t="inlineStr"/>
      <c r="L37" s="32">
        <f>IF(COUNTIF($B$5:B37,B37)=1,1,0)</f>
        <v/>
      </c>
    </row>
    <row r="38">
      <c r="A38" s="18" t="inlineStr">
        <is>
          <t>EX-000021</t>
        </is>
      </c>
      <c r="B38" s="18" t="inlineStr"/>
      <c r="C38" s="18" t="inlineStr">
        <is>
          <t>PO REFERENCE</t>
        </is>
      </c>
      <c r="D38" s="18" t="inlineStr">
        <is>
          <t>PO-523</t>
        </is>
      </c>
      <c r="E38" s="18" t="inlineStr">
        <is>
          <t>P-9023A</t>
        </is>
      </c>
      <c r="F38" s="34" t="n">
        <v>8500</v>
      </c>
      <c r="G38" s="33" t="n"/>
      <c r="H38" s="18" t="inlineStr">
        <is>
          <t>Value Difference</t>
        </is>
      </c>
      <c r="I38" s="18" t="inlineStr">
        <is>
          <t>Critical</t>
        </is>
      </c>
      <c r="J38" s="18" t="inlineStr">
        <is>
          <t>Open</t>
        </is>
      </c>
      <c r="K38" s="18" t="inlineStr"/>
      <c r="L38" s="33">
        <f>IF(COUNTIF($B$5:B38,B38)=1,1,0)</f>
        <v/>
      </c>
    </row>
  </sheetData>
  <autoFilter ref="A4:K38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B34"/>
    <outlinePr summaryBelow="1" summaryRight="1"/>
    <pageSetUpPr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</cols>
  <sheetData>
    <row r="1" ht="19.5" customHeight="1">
      <c r="A1" s="29" t="inlineStr">
        <is>
          <t>Matched Records — Audit Log</t>
        </is>
      </c>
    </row>
    <row r="2" ht="15.75" customHeight="1">
      <c r="A2" s="30" t="inlineStr">
        <is>
          <t>Records that matched perfectly across all compared fields. Read-only audit log.</t>
        </is>
      </c>
    </row>
    <row r="4" ht="19.5" customHeight="1">
      <c r="A4" s="14" t="inlineStr">
        <is>
          <t>RecliQ_Universal_Reconciliation_Master_Test - Book.xlsx Row</t>
        </is>
      </c>
      <c r="B4" s="14" t="inlineStr">
        <is>
          <t>RecliQ_Universal_Reconciliation_Master_Test - portal.xlsx Row</t>
        </is>
      </c>
      <c r="C4" s="14" t="inlineStr">
        <is>
          <t>INVOICE NO (RecliQ_Universal_Reconciliation_Master_Test - Book.xlsx)</t>
        </is>
      </c>
      <c r="D4" s="14" t="inlineStr">
        <is>
          <t>INVOICE NO (RecliQ_Universal_Reconciliation_Master_Test - portal.xlsx)</t>
        </is>
      </c>
      <c r="E4" s="14" t="inlineStr">
        <is>
          <t>Match Type</t>
        </is>
      </c>
      <c r="F4" s="14" t="inlineStr">
        <is>
          <t>Match Confidence</t>
        </is>
      </c>
      <c r="G4" s="14" t="inlineStr">
        <is>
          <t>Match Status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192E"/>
    <outlinePr summaryBelow="1" summaryRight="1"/>
    <pageSetUpPr/>
  </sheetPr>
  <dimension ref="A1:S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8" customWidth="1" min="4" max="4"/>
    <col width="15" customWidth="1" min="5" max="5"/>
    <col width="12" customWidth="1" min="6" max="6"/>
    <col width="13" customWidth="1" min="7" max="7"/>
    <col width="12" customWidth="1" min="8" max="8"/>
    <col width="19" customWidth="1" min="9" max="9"/>
    <col width="12" customWidth="1" min="10" max="10"/>
    <col width="18" customWidth="1" min="11" max="11"/>
    <col width="19" customWidth="1" min="12" max="12"/>
    <col width="17" customWidth="1" min="13" max="13"/>
    <col width="20" customWidth="1" min="14" max="14"/>
    <col width="16" customWidth="1" min="15" max="15"/>
    <col width="19" customWidth="1" min="16" max="16"/>
    <col width="20" customWidth="1" min="17" max="17"/>
    <col width="18" customWidth="1" min="18" max="18"/>
    <col width="35" customWidth="1" min="19" max="19"/>
  </cols>
  <sheetData>
    <row r="1" ht="19.5" customHeight="1">
      <c r="A1" s="29" t="inlineStr">
        <is>
          <t>Missing from RecliQ_Universal_Reconciliation_Master_Test - Book.xlsx (File 1)</t>
        </is>
      </c>
    </row>
    <row r="2" ht="15.75" customHeight="1">
      <c r="A2" s="30" t="inlineStr">
        <is>
          <t>Records present in RecliQ_Universal_Reconciliation_Master_Test - portal.xlsx but with no matching INVOICE NO found in RecliQ_Universal_Reconciliation_Master_Test - Book.xlsx.</t>
        </is>
      </c>
    </row>
    <row r="4" ht="27.75" customHeight="1">
      <c r="A4" s="37" t="inlineStr">
        <is>
          <t>NORM_DOCUMENT NUMBER</t>
        </is>
      </c>
      <c r="B4" s="37" t="inlineStr">
        <is>
          <t>BASE AMOUNT</t>
        </is>
      </c>
      <c r="C4" s="37" t="inlineStr">
        <is>
          <t>GROSS AMOUNT</t>
        </is>
      </c>
      <c r="D4" s="37" t="inlineStr">
        <is>
          <t>DOCUMENT NUMBER</t>
        </is>
      </c>
      <c r="E4" s="37" t="inlineStr">
        <is>
          <t>POSTING DATE</t>
        </is>
      </c>
      <c r="F4" s="37" t="inlineStr">
        <is>
          <t>SUPPLIER</t>
        </is>
      </c>
      <c r="G4" s="37" t="inlineStr">
        <is>
          <t>TAX AMOUNT</t>
        </is>
      </c>
      <c r="H4" s="37" t="inlineStr">
        <is>
          <t>STATUS</t>
        </is>
      </c>
      <c r="I4" s="37" t="inlineStr">
        <is>
          <t>PORTAL REFERENCE</t>
        </is>
      </c>
      <c r="J4" s="37" t="inlineStr">
        <is>
          <t>CATEGORY</t>
        </is>
      </c>
      <c r="K4" s="37" t="inlineStr">
        <is>
          <t>__SOURCE_FILE__</t>
        </is>
      </c>
      <c r="L4" s="37" t="inlineStr">
        <is>
          <t>__SOURCE_SHEET__</t>
        </is>
      </c>
      <c r="M4" s="37" t="inlineStr">
        <is>
          <t>__SOURCE_ROW__</t>
        </is>
      </c>
      <c r="N4" s="37" t="inlineStr">
        <is>
          <t>NORM_POSTING DATE</t>
        </is>
      </c>
      <c r="O4" s="37" t="inlineStr">
        <is>
          <t>NORM_SUPPLIER</t>
        </is>
      </c>
      <c r="P4" s="37" t="inlineStr">
        <is>
          <t>NORM_BASE AMOUNT</t>
        </is>
      </c>
      <c r="Q4" s="37" t="inlineStr">
        <is>
          <t>NORM_GROSS AMOUNT</t>
        </is>
      </c>
      <c r="R4" s="37" t="inlineStr">
        <is>
          <t>__GROUP_COUNT__</t>
        </is>
      </c>
      <c r="S4" s="37" t="inlineStr">
        <is>
          <t>RecliQ_Universal_Reconciliation_Master_Test - portal.xlsx Row</t>
        </is>
      </c>
    </row>
    <row r="5">
      <c r="A5" s="15" t="inlineStr">
        <is>
          <t>INV1019A</t>
        </is>
      </c>
      <c r="B5" s="31" t="n">
        <v>18000</v>
      </c>
      <c r="C5" s="31" t="n">
        <v>21240</v>
      </c>
      <c r="D5" s="15" t="inlineStr">
        <is>
          <t>INV1019-A</t>
        </is>
      </c>
      <c r="E5" s="15" t="inlineStr">
        <is>
          <t>2026-08-19</t>
        </is>
      </c>
      <c r="F5" s="15" t="inlineStr">
        <is>
          <t>Zenith Industries</t>
        </is>
      </c>
      <c r="G5" s="31" t="n">
        <v>3240</v>
      </c>
      <c r="H5" s="15" t="inlineStr">
        <is>
          <t>Posted</t>
        </is>
      </c>
      <c r="I5" s="15" t="inlineStr">
        <is>
          <t>P-9019A</t>
        </is>
      </c>
      <c r="J5" s="15" t="inlineStr">
        <is>
          <t>Manufacturing</t>
        </is>
      </c>
      <c r="K5" s="15" t="inlineStr">
        <is>
          <t>RecliQ_Universal_Reconciliation_Master_Test - portal.xlsx</t>
        </is>
      </c>
      <c r="L5" s="15" t="inlineStr">
        <is>
          <t>Portal</t>
        </is>
      </c>
      <c r="M5" s="31" t="n">
        <v>20</v>
      </c>
      <c r="N5" s="15" t="inlineStr">
        <is>
          <t>2026-08-19</t>
        </is>
      </c>
      <c r="O5" s="15" t="inlineStr">
        <is>
          <t>zenith industries</t>
        </is>
      </c>
      <c r="P5" s="31" t="n">
        <v>18000</v>
      </c>
      <c r="Q5" s="31" t="n">
        <v>21240</v>
      </c>
      <c r="R5" s="31" t="n">
        <v>1</v>
      </c>
      <c r="S5" s="32" t="n">
        <v>20</v>
      </c>
    </row>
    <row r="6">
      <c r="A6" s="18" t="inlineStr">
        <is>
          <t>INV1019B</t>
        </is>
      </c>
      <c r="B6" s="34" t="n">
        <v>12000</v>
      </c>
      <c r="C6" s="34" t="n">
        <v>14160</v>
      </c>
      <c r="D6" s="18" t="inlineStr">
        <is>
          <t>INV1019-B</t>
        </is>
      </c>
      <c r="E6" s="18" t="inlineStr">
        <is>
          <t>19/08/2026</t>
        </is>
      </c>
      <c r="F6" s="18" t="inlineStr">
        <is>
          <t>Zenith Industries</t>
        </is>
      </c>
      <c r="G6" s="34" t="n">
        <v>2160</v>
      </c>
      <c r="H6" s="18" t="inlineStr">
        <is>
          <t>Posted</t>
        </is>
      </c>
      <c r="I6" s="18" t="inlineStr">
        <is>
          <t>P-9019B</t>
        </is>
      </c>
      <c r="J6" s="18" t="inlineStr">
        <is>
          <t>Manufacturing</t>
        </is>
      </c>
      <c r="K6" s="18" t="inlineStr">
        <is>
          <t>RecliQ_Universal_Reconciliation_Master_Test - portal.xlsx</t>
        </is>
      </c>
      <c r="L6" s="18" t="inlineStr">
        <is>
          <t>Portal</t>
        </is>
      </c>
      <c r="M6" s="34" t="n">
        <v>21</v>
      </c>
      <c r="N6" s="18" t="inlineStr">
        <is>
          <t>2026-08-19</t>
        </is>
      </c>
      <c r="O6" s="18" t="inlineStr">
        <is>
          <t>zenith industries</t>
        </is>
      </c>
      <c r="P6" s="34" t="n">
        <v>12000</v>
      </c>
      <c r="Q6" s="34" t="n">
        <v>14160</v>
      </c>
      <c r="R6" s="34" t="n">
        <v>1</v>
      </c>
      <c r="S6" s="33" t="n">
        <v>21</v>
      </c>
    </row>
    <row r="7">
      <c r="A7" s="15" t="inlineStr">
        <is>
          <t>INV1023</t>
        </is>
      </c>
      <c r="B7" s="31" t="n">
        <v>12000</v>
      </c>
      <c r="C7" s="31" t="n">
        <v>14160</v>
      </c>
      <c r="D7" s="15" t="inlineStr">
        <is>
          <t>INV1023</t>
        </is>
      </c>
      <c r="E7" s="15" t="inlineStr">
        <is>
          <t>23-Aug-2026</t>
        </is>
      </c>
      <c r="F7" s="15" t="inlineStr">
        <is>
          <t>Duplicate Test Co</t>
        </is>
      </c>
      <c r="G7" s="31" t="n">
        <v>2160</v>
      </c>
      <c r="H7" s="15" t="inlineStr">
        <is>
          <t>Posted</t>
        </is>
      </c>
      <c r="I7" s="15" t="inlineStr">
        <is>
          <t>P-9023A</t>
        </is>
      </c>
      <c r="J7" s="15" t="inlineStr">
        <is>
          <t>Services</t>
        </is>
      </c>
      <c r="K7" s="15" t="inlineStr">
        <is>
          <t>RecliQ_Universal_Reconciliation_Master_Test - portal.xlsx</t>
        </is>
      </c>
      <c r="L7" s="15" t="inlineStr">
        <is>
          <t>Portal</t>
        </is>
      </c>
      <c r="M7" s="31" t="n">
        <v>24</v>
      </c>
      <c r="N7" s="15" t="inlineStr">
        <is>
          <t>23-Aug-2026</t>
        </is>
      </c>
      <c r="O7" s="15" t="inlineStr">
        <is>
          <t>duplicate test co</t>
        </is>
      </c>
      <c r="P7" s="31" t="n">
        <v>12000</v>
      </c>
      <c r="Q7" s="31" t="n">
        <v>14160</v>
      </c>
      <c r="R7" s="15" t="n"/>
      <c r="S7" s="15" t="n"/>
    </row>
    <row r="8">
      <c r="A8" s="18" t="inlineStr">
        <is>
          <t>INV1023</t>
        </is>
      </c>
      <c r="B8" s="34" t="n">
        <v>12000</v>
      </c>
      <c r="C8" s="34" t="n">
        <v>14160</v>
      </c>
      <c r="D8" s="18" t="inlineStr">
        <is>
          <t>INV1023</t>
        </is>
      </c>
      <c r="E8" s="18" t="inlineStr">
        <is>
          <t>23-Aug-2026</t>
        </is>
      </c>
      <c r="F8" s="18" t="inlineStr">
        <is>
          <t>Duplicate Test Co</t>
        </is>
      </c>
      <c r="G8" s="34" t="n">
        <v>2160</v>
      </c>
      <c r="H8" s="18" t="inlineStr">
        <is>
          <t>Posted</t>
        </is>
      </c>
      <c r="I8" s="18" t="inlineStr">
        <is>
          <t>P-9023B</t>
        </is>
      </c>
      <c r="J8" s="18" t="inlineStr">
        <is>
          <t>Services</t>
        </is>
      </c>
      <c r="K8" s="18" t="inlineStr">
        <is>
          <t>RecliQ_Universal_Reconciliation_Master_Test - portal.xlsx</t>
        </is>
      </c>
      <c r="L8" s="18" t="inlineStr">
        <is>
          <t>Portal</t>
        </is>
      </c>
      <c r="M8" s="34" t="n">
        <v>25</v>
      </c>
      <c r="N8" s="18" t="inlineStr">
        <is>
          <t>23-Aug-2026</t>
        </is>
      </c>
      <c r="O8" s="18" t="inlineStr">
        <is>
          <t>duplicate test co</t>
        </is>
      </c>
      <c r="P8" s="34" t="n">
        <v>12000</v>
      </c>
      <c r="Q8" s="34" t="n">
        <v>14160</v>
      </c>
      <c r="R8" s="18" t="n"/>
      <c r="S8" s="18" t="n"/>
    </row>
  </sheetData>
  <mergeCells count="2">
    <mergeCell ref="A2:S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A6192E"/>
    <outlinePr summaryBelow="1" summaryRight="1"/>
    <pageSetUpPr/>
  </sheetPr>
  <dimension ref="A1:R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3" customWidth="1" min="4" max="4"/>
    <col width="15" customWidth="1" min="5" max="5"/>
    <col width="14" customWidth="1" min="6" max="6"/>
    <col width="12" customWidth="1" min="7" max="7"/>
    <col width="13" customWidth="1" min="8" max="8"/>
    <col width="15" customWidth="1" min="9" max="9"/>
    <col width="18" customWidth="1" min="10" max="10"/>
    <col width="19" customWidth="1" min="11" max="11"/>
    <col width="17" customWidth="1" min="12" max="12"/>
    <col width="20" customWidth="1" min="13" max="13"/>
    <col width="19" customWidth="1" min="14" max="14"/>
    <col width="21" customWidth="1" min="15" max="15"/>
    <col width="24" customWidth="1" min="16" max="16"/>
    <col width="18" customWidth="1" min="17" max="17"/>
    <col width="35" customWidth="1" min="18" max="18"/>
  </cols>
  <sheetData>
    <row r="1" ht="19.5" customHeight="1">
      <c r="A1" s="29" t="inlineStr">
        <is>
          <t>Missing from RecliQ_Universal_Reconciliation_Master_Test - portal.xlsx (File 2)</t>
        </is>
      </c>
    </row>
    <row r="2" ht="15.75" customHeight="1">
      <c r="A2" s="30" t="inlineStr">
        <is>
          <t>Records present in RecliQ_Universal_Reconciliation_Master_Test - Book.xlsx but with no matching INVOICE NO found in RecliQ_Universal_Reconciliation_Master_Test - portal.xlsx.</t>
        </is>
      </c>
    </row>
    <row r="4" ht="27.75" customHeight="1">
      <c r="A4" s="37" t="inlineStr">
        <is>
          <t>NORM_INVOICE NO</t>
        </is>
      </c>
      <c r="B4" s="37" t="inlineStr">
        <is>
          <t>TAXABLE VALUE</t>
        </is>
      </c>
      <c r="C4" s="37" t="inlineStr">
        <is>
          <t>TOTAL BOOK VALUE</t>
        </is>
      </c>
      <c r="D4" s="37" t="inlineStr">
        <is>
          <t>INVOICE NO</t>
        </is>
      </c>
      <c r="E4" s="37" t="inlineStr">
        <is>
          <t>INVOICE DATE</t>
        </is>
      </c>
      <c r="F4" s="37" t="inlineStr">
        <is>
          <t>VENDOR NAME</t>
        </is>
      </c>
      <c r="G4" s="37" t="inlineStr">
        <is>
          <t>GST</t>
        </is>
      </c>
      <c r="H4" s="37" t="inlineStr">
        <is>
          <t>DEPARTMENT</t>
        </is>
      </c>
      <c r="I4" s="37" t="inlineStr">
        <is>
          <t>PO REFERENCE</t>
        </is>
      </c>
      <c r="J4" s="37" t="inlineStr">
        <is>
          <t>__SOURCE_FILE__</t>
        </is>
      </c>
      <c r="K4" s="37" t="inlineStr">
        <is>
          <t>__SOURCE_SHEET__</t>
        </is>
      </c>
      <c r="L4" s="37" t="inlineStr">
        <is>
          <t>__SOURCE_ROW__</t>
        </is>
      </c>
      <c r="M4" s="37" t="inlineStr">
        <is>
          <t>NORM_INVOICE DATE</t>
        </is>
      </c>
      <c r="N4" s="37" t="inlineStr">
        <is>
          <t>NORM_VENDOR NAME</t>
        </is>
      </c>
      <c r="O4" s="37" t="inlineStr">
        <is>
          <t>NORM_TAXABLE VALUE</t>
        </is>
      </c>
      <c r="P4" s="37" t="inlineStr">
        <is>
          <t>NORM_TOTAL BOOK VALUE</t>
        </is>
      </c>
      <c r="Q4" s="37" t="inlineStr">
        <is>
          <t>__GROUP_COUNT__</t>
        </is>
      </c>
      <c r="R4" s="37" t="inlineStr">
        <is>
          <t>RecliQ_Universal_Reconciliation_Master_Test - Book.xlsx Row</t>
        </is>
      </c>
    </row>
    <row r="5">
      <c r="A5" s="15" t="inlineStr">
        <is>
          <t>INV1019</t>
        </is>
      </c>
      <c r="B5" s="31" t="n">
        <v>30000</v>
      </c>
      <c r="C5" s="31" t="n">
        <v>35400</v>
      </c>
      <c r="D5" s="15" t="inlineStr">
        <is>
          <t>INV/1019</t>
        </is>
      </c>
      <c r="E5" s="15" t="inlineStr">
        <is>
          <t>19/08/2026</t>
        </is>
      </c>
      <c r="F5" s="15" t="inlineStr">
        <is>
          <t>Zenith Industries</t>
        </is>
      </c>
      <c r="G5" s="31" t="n">
        <v>5400</v>
      </c>
      <c r="H5" s="15" t="inlineStr">
        <is>
          <t>Operations</t>
        </is>
      </c>
      <c r="I5" s="15" t="inlineStr">
        <is>
          <t>PO-519</t>
        </is>
      </c>
      <c r="J5" s="15" t="inlineStr">
        <is>
          <t>RecliQ_Universal_Reconciliation_Master_Test - Book.xlsx</t>
        </is>
      </c>
      <c r="K5" s="15" t="inlineStr">
        <is>
          <t>Books</t>
        </is>
      </c>
      <c r="L5" s="31" t="n">
        <v>20</v>
      </c>
      <c r="M5" s="15" t="inlineStr">
        <is>
          <t>19/08/2026</t>
        </is>
      </c>
      <c r="N5" s="15" t="inlineStr">
        <is>
          <t>zenith industries</t>
        </is>
      </c>
      <c r="O5" s="31" t="n">
        <v>30000</v>
      </c>
      <c r="P5" s="31" t="n">
        <v>35400</v>
      </c>
      <c r="Q5" s="31" t="n">
        <v>1</v>
      </c>
      <c r="R5" s="32" t="n">
        <v>20</v>
      </c>
    </row>
    <row r="6">
      <c r="A6" s="18" t="inlineStr">
        <is>
          <t>INV1021</t>
        </is>
      </c>
      <c r="B6" s="34" t="n">
        <v>5000</v>
      </c>
      <c r="C6" s="34" t="n">
        <v>5900</v>
      </c>
      <c r="D6" s="18" t="inlineStr">
        <is>
          <t>INV/1021</t>
        </is>
      </c>
      <c r="E6" s="18" t="inlineStr">
        <is>
          <t>21-08-2026</t>
        </is>
      </c>
      <c r="F6" s="18" t="inlineStr">
        <is>
          <t>Missing From Portal Ltd</t>
        </is>
      </c>
      <c r="G6" s="34" t="n">
        <v>900</v>
      </c>
      <c r="H6" s="18" t="inlineStr">
        <is>
          <t>Sales</t>
        </is>
      </c>
      <c r="I6" s="18" t="inlineStr">
        <is>
          <t>PO-521</t>
        </is>
      </c>
      <c r="J6" s="18" t="inlineStr">
        <is>
          <t>RecliQ_Universal_Reconciliation_Master_Test - Book.xlsx</t>
        </is>
      </c>
      <c r="K6" s="18" t="inlineStr">
        <is>
          <t>Books</t>
        </is>
      </c>
      <c r="L6" s="34" t="n">
        <v>22</v>
      </c>
      <c r="M6" s="18" t="inlineStr">
        <is>
          <t>21-08-2026</t>
        </is>
      </c>
      <c r="N6" s="18" t="inlineStr">
        <is>
          <t>missing from portal ltd</t>
        </is>
      </c>
      <c r="O6" s="34" t="n">
        <v>5000</v>
      </c>
      <c r="P6" s="34" t="n">
        <v>5900</v>
      </c>
      <c r="Q6" s="34" t="n">
        <v>1</v>
      </c>
      <c r="R6" s="33" t="n">
        <v>22</v>
      </c>
    </row>
  </sheetData>
  <mergeCells count="2">
    <mergeCell ref="A2:R2"/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B36A00"/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19.5" customHeight="1">
      <c r="A1" s="29" t="inlineStr">
        <is>
          <t>Field Differences — Granular Side-by-Side Comparison</t>
        </is>
      </c>
    </row>
    <row r="2" ht="15.75" customHeight="1">
      <c r="A2" s="30" t="inlineStr">
        <is>
          <t>Detailed breakdown of every field-level difference between matched record pairs.</t>
        </is>
      </c>
    </row>
    <row r="4" ht="19.5" customHeight="1">
      <c r="A4" s="14" t="inlineStr">
        <is>
          <t>Match Key (INVOICE NO)</t>
        </is>
      </c>
      <c r="B4" s="14" t="inlineStr">
        <is>
          <t>Field</t>
        </is>
      </c>
      <c r="C4" s="14" t="inlineStr">
        <is>
          <t>RecliQ_Universal_Reconciliation_Master_Test - Book.xlsx Value</t>
        </is>
      </c>
      <c r="D4" s="14" t="inlineStr">
        <is>
          <t>RecliQ_Universal_Reconciliation_Master_Test - portal.xlsx Value</t>
        </is>
      </c>
      <c r="E4" s="14" t="inlineStr">
        <is>
          <t>Difference</t>
        </is>
      </c>
      <c r="F4" s="14" t="inlineStr">
        <is>
          <t>Difference %</t>
        </is>
      </c>
      <c r="G4" s="14" t="inlineStr">
        <is>
          <t>Result</t>
        </is>
      </c>
    </row>
    <row r="5">
      <c r="A5" s="15" t="inlineStr"/>
      <c r="B5" s="15" t="inlineStr">
        <is>
          <t>PO REFERENCE</t>
        </is>
      </c>
      <c r="C5" s="15" t="inlineStr">
        <is>
          <t>PO-501</t>
        </is>
      </c>
      <c r="D5" s="15" t="inlineStr">
        <is>
          <t>P-9001</t>
        </is>
      </c>
      <c r="E5" s="31" t="n">
        <v>8500</v>
      </c>
      <c r="F5" s="32" t="n"/>
      <c r="G5" s="15" t="inlineStr">
        <is>
          <t>Mismatch</t>
        </is>
      </c>
    </row>
    <row r="6">
      <c r="A6" s="18" t="inlineStr"/>
      <c r="B6" s="18" t="inlineStr">
        <is>
          <t>INVOICE DATE</t>
        </is>
      </c>
      <c r="C6" s="18" t="inlineStr">
        <is>
          <t>02-Aug-2026</t>
        </is>
      </c>
      <c r="D6" s="18" t="inlineStr">
        <is>
          <t>2026-08-02</t>
        </is>
      </c>
      <c r="E6" s="33" t="n"/>
      <c r="F6" s="33" t="n"/>
      <c r="G6" s="18" t="inlineStr">
        <is>
          <t>Mismatch</t>
        </is>
      </c>
    </row>
    <row r="7">
      <c r="A7" s="15" t="inlineStr"/>
      <c r="B7" s="15" t="inlineStr">
        <is>
          <t>PO REFERENCE</t>
        </is>
      </c>
      <c r="C7" s="15" t="inlineStr">
        <is>
          <t>PO-502</t>
        </is>
      </c>
      <c r="D7" s="15" t="inlineStr">
        <is>
          <t>P-9002</t>
        </is>
      </c>
      <c r="E7" s="31" t="n">
        <v>8500</v>
      </c>
      <c r="F7" s="32" t="n"/>
      <c r="G7" s="15" t="inlineStr">
        <is>
          <t>Mismatch</t>
        </is>
      </c>
    </row>
    <row r="8">
      <c r="A8" s="18" t="inlineStr"/>
      <c r="B8" s="18" t="inlineStr">
        <is>
          <t>PO REFERENCE</t>
        </is>
      </c>
      <c r="C8" s="18" t="inlineStr">
        <is>
          <t>PO-503</t>
        </is>
      </c>
      <c r="D8" s="18" t="inlineStr">
        <is>
          <t>P-9003</t>
        </is>
      </c>
      <c r="E8" s="34" t="n">
        <v>8500</v>
      </c>
      <c r="F8" s="33" t="n"/>
      <c r="G8" s="18" t="inlineStr">
        <is>
          <t>Mismatch</t>
        </is>
      </c>
    </row>
    <row r="9">
      <c r="A9" s="15" t="inlineStr"/>
      <c r="B9" s="15" t="inlineStr">
        <is>
          <t>INVOICE DATE</t>
        </is>
      </c>
      <c r="C9" s="15" t="inlineStr">
        <is>
          <t>2026/08/04</t>
        </is>
      </c>
      <c r="D9" s="15" t="inlineStr">
        <is>
          <t>04/08/2026</t>
        </is>
      </c>
      <c r="E9" s="31" t="n">
        <v>16178778</v>
      </c>
      <c r="F9" s="32" t="n"/>
      <c r="G9" s="15" t="inlineStr">
        <is>
          <t>Mismatch</t>
        </is>
      </c>
    </row>
    <row r="10">
      <c r="A10" s="18" t="inlineStr"/>
      <c r="B10" s="18" t="inlineStr">
        <is>
          <t>PO REFERENCE</t>
        </is>
      </c>
      <c r="C10" s="18" t="inlineStr">
        <is>
          <t>PO-504</t>
        </is>
      </c>
      <c r="D10" s="18" t="inlineStr">
        <is>
          <t>P-9004</t>
        </is>
      </c>
      <c r="E10" s="34" t="n">
        <v>8500</v>
      </c>
      <c r="F10" s="33" t="n"/>
      <c r="G10" s="18" t="inlineStr">
        <is>
          <t>Mismatch</t>
        </is>
      </c>
    </row>
    <row r="11">
      <c r="A11" s="15" t="inlineStr"/>
      <c r="B11" s="15" t="inlineStr">
        <is>
          <t>INVOICE DATE</t>
        </is>
      </c>
      <c r="C11" s="15" t="inlineStr">
        <is>
          <t>05-08-2026</t>
        </is>
      </c>
      <c r="D11" s="15" t="inlineStr">
        <is>
          <t>2026-08-05</t>
        </is>
      </c>
      <c r="E11" s="32" t="n"/>
      <c r="F11" s="32" t="n"/>
      <c r="G11" s="15" t="inlineStr">
        <is>
          <t>Mismatch</t>
        </is>
      </c>
    </row>
    <row r="12">
      <c r="A12" s="18" t="inlineStr"/>
      <c r="B12" s="18" t="inlineStr">
        <is>
          <t>PO REFERENCE</t>
        </is>
      </c>
      <c r="C12" s="18" t="inlineStr">
        <is>
          <t>PO-505</t>
        </is>
      </c>
      <c r="D12" s="18" t="inlineStr">
        <is>
          <t>P-9005</t>
        </is>
      </c>
      <c r="E12" s="34" t="n">
        <v>8500</v>
      </c>
      <c r="F12" s="33" t="n"/>
      <c r="G12" s="18" t="inlineStr">
        <is>
          <t>Mismatch</t>
        </is>
      </c>
    </row>
    <row r="13">
      <c r="A13" s="15" t="inlineStr"/>
      <c r="B13" s="15" t="inlineStr">
        <is>
          <t>INVOICE DATE</t>
        </is>
      </c>
      <c r="C13" s="15" t="inlineStr">
        <is>
          <t>2026-08-06</t>
        </is>
      </c>
      <c r="D13" s="15" t="inlineStr">
        <is>
          <t>06-Aug-2026</t>
        </is>
      </c>
      <c r="E13" s="32" t="n"/>
      <c r="F13" s="32" t="n"/>
      <c r="G13" s="15" t="inlineStr">
        <is>
          <t>Mismatch</t>
        </is>
      </c>
    </row>
    <row r="14">
      <c r="A14" s="18" t="inlineStr"/>
      <c r="B14" s="18" t="inlineStr">
        <is>
          <t>PO REFERENCE</t>
        </is>
      </c>
      <c r="C14" s="18" t="inlineStr">
        <is>
          <t>PO-506</t>
        </is>
      </c>
      <c r="D14" s="18" t="inlineStr">
        <is>
          <t>P-9006</t>
        </is>
      </c>
      <c r="E14" s="34" t="n">
        <v>8500</v>
      </c>
      <c r="F14" s="33" t="n"/>
      <c r="G14" s="18" t="inlineStr">
        <is>
          <t>Mismatch</t>
        </is>
      </c>
    </row>
    <row r="15">
      <c r="A15" s="15" t="inlineStr"/>
      <c r="B15" s="15" t="inlineStr">
        <is>
          <t>INVOICE DATE</t>
        </is>
      </c>
      <c r="C15" s="15" t="inlineStr">
        <is>
          <t>07/08/2026</t>
        </is>
      </c>
      <c r="D15" s="15" t="inlineStr">
        <is>
          <t>2026/08/07</t>
        </is>
      </c>
      <c r="E15" s="31" t="n">
        <v>-13178781</v>
      </c>
      <c r="F15" s="32" t="n"/>
      <c r="G15" s="15" t="inlineStr">
        <is>
          <t>Mismatch</t>
        </is>
      </c>
    </row>
    <row r="16">
      <c r="A16" s="18" t="inlineStr"/>
      <c r="B16" s="18" t="inlineStr">
        <is>
          <t>PO REFERENCE</t>
        </is>
      </c>
      <c r="C16" s="18" t="inlineStr">
        <is>
          <t>PO-507</t>
        </is>
      </c>
      <c r="D16" s="18" t="inlineStr">
        <is>
          <t>P-9007</t>
        </is>
      </c>
      <c r="E16" s="34" t="n">
        <v>8500</v>
      </c>
      <c r="F16" s="33" t="n"/>
      <c r="G16" s="18" t="inlineStr">
        <is>
          <t>Mismatch</t>
        </is>
      </c>
    </row>
    <row r="17">
      <c r="A17" s="15" t="inlineStr"/>
      <c r="B17" s="15" t="inlineStr">
        <is>
          <t>INVOICE DATE</t>
        </is>
      </c>
      <c r="C17" s="15" t="inlineStr">
        <is>
          <t>2026-08-08</t>
        </is>
      </c>
      <c r="D17" s="15" t="inlineStr">
        <is>
          <t>08-08-2026</t>
        </is>
      </c>
      <c r="E17" s="32" t="n"/>
      <c r="F17" s="32" t="n"/>
      <c r="G17" s="15" t="inlineStr">
        <is>
          <t>Mismatch</t>
        </is>
      </c>
    </row>
    <row r="18">
      <c r="A18" s="18" t="inlineStr"/>
      <c r="B18" s="18" t="inlineStr">
        <is>
          <t>PO REFERENCE</t>
        </is>
      </c>
      <c r="C18" s="18" t="inlineStr">
        <is>
          <t>PO-508</t>
        </is>
      </c>
      <c r="D18" s="18" t="inlineStr">
        <is>
          <t>P-9008</t>
        </is>
      </c>
      <c r="E18" s="34" t="n">
        <v>8500</v>
      </c>
      <c r="F18" s="33" t="n"/>
      <c r="G18" s="18" t="inlineStr">
        <is>
          <t>Mismatch</t>
        </is>
      </c>
    </row>
    <row r="19">
      <c r="A19" s="15" t="inlineStr"/>
      <c r="B19" s="15" t="inlineStr">
        <is>
          <t>INVOICE DATE</t>
        </is>
      </c>
      <c r="C19" s="15" t="inlineStr">
        <is>
          <t>09-Aug-2026</t>
        </is>
      </c>
      <c r="D19" s="15" t="inlineStr">
        <is>
          <t>2026-08-09</t>
        </is>
      </c>
      <c r="E19" s="32" t="n"/>
      <c r="F19" s="32" t="n"/>
      <c r="G19" s="15" t="inlineStr">
        <is>
          <t>Mismatch</t>
        </is>
      </c>
    </row>
    <row r="20">
      <c r="A20" s="18" t="inlineStr"/>
      <c r="B20" s="18" t="inlineStr">
        <is>
          <t>PO REFERENCE</t>
        </is>
      </c>
      <c r="C20" s="18" t="inlineStr">
        <is>
          <t>PO-509</t>
        </is>
      </c>
      <c r="D20" s="18" t="inlineStr">
        <is>
          <t>P-9009</t>
        </is>
      </c>
      <c r="E20" s="34" t="n">
        <v>8500</v>
      </c>
      <c r="F20" s="33" t="n"/>
      <c r="G20" s="18" t="inlineStr">
        <is>
          <t>Mismatch</t>
        </is>
      </c>
    </row>
    <row r="21">
      <c r="A21" s="15" t="inlineStr"/>
      <c r="B21" s="15" t="inlineStr">
        <is>
          <t>PO REFERENCE</t>
        </is>
      </c>
      <c r="C21" s="15" t="inlineStr">
        <is>
          <t>PO-510</t>
        </is>
      </c>
      <c r="D21" s="15" t="inlineStr">
        <is>
          <t>P-9010</t>
        </is>
      </c>
      <c r="E21" s="31" t="n">
        <v>8500</v>
      </c>
      <c r="F21" s="32" t="n"/>
      <c r="G21" s="15" t="inlineStr">
        <is>
          <t>Mismatch</t>
        </is>
      </c>
    </row>
    <row r="22">
      <c r="A22" s="18" t="inlineStr"/>
      <c r="B22" s="18" t="inlineStr">
        <is>
          <t>PO REFERENCE</t>
        </is>
      </c>
      <c r="C22" s="18" t="inlineStr">
        <is>
          <t>PO-511</t>
        </is>
      </c>
      <c r="D22" s="18" t="inlineStr">
        <is>
          <t>P-9011</t>
        </is>
      </c>
      <c r="E22" s="34" t="n">
        <v>8500</v>
      </c>
      <c r="F22" s="33" t="n"/>
      <c r="G22" s="18" t="inlineStr">
        <is>
          <t>Mismatch</t>
        </is>
      </c>
    </row>
    <row r="23">
      <c r="A23" s="15" t="inlineStr"/>
      <c r="B23" s="15" t="inlineStr">
        <is>
          <t>INVOICE DATE</t>
        </is>
      </c>
      <c r="C23" s="15" t="inlineStr">
        <is>
          <t>2026-08-12</t>
        </is>
      </c>
      <c r="D23" s="15" t="inlineStr">
        <is>
          <t>12-Aug-2026</t>
        </is>
      </c>
      <c r="E23" s="32" t="n"/>
      <c r="F23" s="32" t="n"/>
      <c r="G23" s="15" t="inlineStr">
        <is>
          <t>Mismatch</t>
        </is>
      </c>
    </row>
    <row r="24">
      <c r="A24" s="18" t="inlineStr"/>
      <c r="B24" s="18" t="inlineStr">
        <is>
          <t>PO REFERENCE</t>
        </is>
      </c>
      <c r="C24" s="18" t="inlineStr">
        <is>
          <t>PO-512</t>
        </is>
      </c>
      <c r="D24" s="18" t="inlineStr">
        <is>
          <t>P-9012</t>
        </is>
      </c>
      <c r="E24" s="34" t="n">
        <v>8500</v>
      </c>
      <c r="F24" s="33" t="n"/>
      <c r="G24" s="18" t="inlineStr">
        <is>
          <t>Mismatch</t>
        </is>
      </c>
    </row>
    <row r="25">
      <c r="A25" s="15" t="inlineStr"/>
      <c r="B25" s="15" t="inlineStr">
        <is>
          <t>PO REFERENCE</t>
        </is>
      </c>
      <c r="C25" s="15" t="inlineStr">
        <is>
          <t>PO-513</t>
        </is>
      </c>
      <c r="D25" s="15" t="inlineStr">
        <is>
          <t>P-9013</t>
        </is>
      </c>
      <c r="E25" s="31" t="n">
        <v>8500</v>
      </c>
      <c r="F25" s="32" t="n"/>
      <c r="G25" s="15" t="inlineStr">
        <is>
          <t>Mismatch</t>
        </is>
      </c>
    </row>
    <row r="26">
      <c r="A26" s="18" t="inlineStr"/>
      <c r="B26" s="18" t="inlineStr">
        <is>
          <t>PO REFERENCE</t>
        </is>
      </c>
      <c r="C26" s="18" t="inlineStr">
        <is>
          <t>PO-514</t>
        </is>
      </c>
      <c r="D26" s="18" t="inlineStr">
        <is>
          <t>P-9014</t>
        </is>
      </c>
      <c r="E26" s="34" t="n">
        <v>8500</v>
      </c>
      <c r="F26" s="33" t="n"/>
      <c r="G26" s="18" t="inlineStr">
        <is>
          <t>Mismatch</t>
        </is>
      </c>
    </row>
    <row r="27">
      <c r="A27" s="15" t="inlineStr"/>
      <c r="B27" s="15" t="inlineStr">
        <is>
          <t>PO REFERENCE</t>
        </is>
      </c>
      <c r="C27" s="15" t="inlineStr">
        <is>
          <t>PO-515</t>
        </is>
      </c>
      <c r="D27" s="15" t="inlineStr">
        <is>
          <t>P-9015</t>
        </is>
      </c>
      <c r="E27" s="31" t="n">
        <v>8500</v>
      </c>
      <c r="F27" s="32" t="n"/>
      <c r="G27" s="15" t="inlineStr">
        <is>
          <t>Mismatch</t>
        </is>
      </c>
    </row>
    <row r="28">
      <c r="A28" s="18" t="inlineStr"/>
      <c r="B28" s="18" t="inlineStr">
        <is>
          <t>PO REFERENCE</t>
        </is>
      </c>
      <c r="C28" s="18" t="inlineStr">
        <is>
          <t>PO-516</t>
        </is>
      </c>
      <c r="D28" s="18" t="inlineStr">
        <is>
          <t>P-9016</t>
        </is>
      </c>
      <c r="E28" s="34" t="n">
        <v>8500</v>
      </c>
      <c r="F28" s="33" t="n"/>
      <c r="G28" s="18" t="inlineStr">
        <is>
          <t>Mismatch</t>
        </is>
      </c>
    </row>
    <row r="29">
      <c r="A29" s="15" t="inlineStr"/>
      <c r="B29" s="15" t="inlineStr">
        <is>
          <t>INVOICE DATE</t>
        </is>
      </c>
      <c r="C29" s="15" t="inlineStr">
        <is>
          <t>17-Aug-2026</t>
        </is>
      </c>
      <c r="D29" s="15" t="inlineStr">
        <is>
          <t>2026-08-17</t>
        </is>
      </c>
      <c r="E29" s="32" t="n"/>
      <c r="F29" s="32" t="n"/>
      <c r="G29" s="15" t="inlineStr">
        <is>
          <t>Mismatch</t>
        </is>
      </c>
    </row>
    <row r="30">
      <c r="A30" s="18" t="inlineStr"/>
      <c r="B30" s="18" t="inlineStr">
        <is>
          <t>PO REFERENCE</t>
        </is>
      </c>
      <c r="C30" s="18" t="inlineStr">
        <is>
          <t>PO-517</t>
        </is>
      </c>
      <c r="D30" s="18" t="inlineStr">
        <is>
          <t>P-9017</t>
        </is>
      </c>
      <c r="E30" s="34" t="n">
        <v>8500</v>
      </c>
      <c r="F30" s="33" t="n"/>
      <c r="G30" s="18" t="inlineStr">
        <is>
          <t>Mismatch</t>
        </is>
      </c>
    </row>
    <row r="31">
      <c r="A31" s="15" t="inlineStr"/>
      <c r="B31" s="15" t="inlineStr">
        <is>
          <t>PO REFERENCE</t>
        </is>
      </c>
      <c r="C31" s="15" t="inlineStr">
        <is>
          <t>PO-518</t>
        </is>
      </c>
      <c r="D31" s="15" t="inlineStr">
        <is>
          <t>P-9018</t>
        </is>
      </c>
      <c r="E31" s="31" t="n">
        <v>8500</v>
      </c>
      <c r="F31" s="32" t="n"/>
      <c r="G31" s="15" t="inlineStr">
        <is>
          <t>Mismatch</t>
        </is>
      </c>
    </row>
    <row r="32">
      <c r="A32" s="18" t="inlineStr"/>
      <c r="B32" s="18" t="inlineStr">
        <is>
          <t>INVOICE DATE</t>
        </is>
      </c>
      <c r="C32" s="18" t="inlineStr">
        <is>
          <t>2026-08-20</t>
        </is>
      </c>
      <c r="D32" s="18" t="inlineStr">
        <is>
          <t>20-Aug-2026</t>
        </is>
      </c>
      <c r="E32" s="33" t="n"/>
      <c r="F32" s="33" t="n"/>
      <c r="G32" s="18" t="inlineStr">
        <is>
          <t>Mismatch</t>
        </is>
      </c>
    </row>
    <row r="33">
      <c r="A33" s="15" t="inlineStr"/>
      <c r="B33" s="15" t="inlineStr">
        <is>
          <t>PO REFERENCE</t>
        </is>
      </c>
      <c r="C33" s="15" t="inlineStr">
        <is>
          <t>PO-520</t>
        </is>
      </c>
      <c r="D33" s="15" t="inlineStr">
        <is>
          <t>P-9020</t>
        </is>
      </c>
      <c r="E33" s="31" t="n">
        <v>8500</v>
      </c>
      <c r="F33" s="32" t="n"/>
      <c r="G33" s="15" t="inlineStr">
        <is>
          <t>Mismatch</t>
        </is>
      </c>
    </row>
    <row r="34">
      <c r="A34" s="18" t="inlineStr"/>
      <c r="B34" s="18" t="inlineStr">
        <is>
          <t>TAXABLE VALUE</t>
        </is>
      </c>
      <c r="C34" s="34" t="n">
        <v>0</v>
      </c>
      <c r="D34" s="34" t="n">
        <v>4000</v>
      </c>
      <c r="E34" s="34" t="n">
        <v>-4000</v>
      </c>
      <c r="F34" s="35" t="n">
        <v>-1</v>
      </c>
      <c r="G34" s="18" t="inlineStr">
        <is>
          <t>Mismatch</t>
        </is>
      </c>
    </row>
    <row r="35">
      <c r="A35" s="15" t="inlineStr"/>
      <c r="B35" s="15" t="inlineStr">
        <is>
          <t>GST</t>
        </is>
      </c>
      <c r="C35" s="31" t="n">
        <v>0</v>
      </c>
      <c r="D35" s="31" t="n">
        <v>720</v>
      </c>
      <c r="E35" s="31" t="n">
        <v>-720</v>
      </c>
      <c r="F35" s="36" t="n">
        <v>-1</v>
      </c>
      <c r="G35" s="15" t="inlineStr">
        <is>
          <t>Mismatch</t>
        </is>
      </c>
    </row>
    <row r="36">
      <c r="A36" s="18" t="inlineStr"/>
      <c r="B36" s="18" t="inlineStr">
        <is>
          <t>TOTAL BOOK VALUE</t>
        </is>
      </c>
      <c r="C36" s="34" t="n">
        <v>0</v>
      </c>
      <c r="D36" s="34" t="n">
        <v>4720</v>
      </c>
      <c r="E36" s="34" t="n">
        <v>-4720</v>
      </c>
      <c r="F36" s="35" t="n">
        <v>-1</v>
      </c>
      <c r="G36" s="18" t="inlineStr">
        <is>
          <t>Mismatch</t>
        </is>
      </c>
    </row>
    <row r="37">
      <c r="A37" s="15" t="inlineStr"/>
      <c r="B37" s="15" t="inlineStr">
        <is>
          <t>PO REFERENCE</t>
        </is>
      </c>
      <c r="C37" s="15" t="inlineStr">
        <is>
          <t>PO-522</t>
        </is>
      </c>
      <c r="D37" s="15" t="inlineStr">
        <is>
          <t>P-9022</t>
        </is>
      </c>
      <c r="E37" s="31" t="n">
        <v>8500</v>
      </c>
      <c r="F37" s="32" t="n"/>
      <c r="G37" s="15" t="inlineStr">
        <is>
          <t>Mismatch</t>
        </is>
      </c>
    </row>
    <row r="38">
      <c r="A38" s="18" t="inlineStr"/>
      <c r="B38" s="18" t="inlineStr">
        <is>
          <t>PO REFERENCE</t>
        </is>
      </c>
      <c r="C38" s="18" t="inlineStr">
        <is>
          <t>PO-523</t>
        </is>
      </c>
      <c r="D38" s="18" t="inlineStr">
        <is>
          <t>P-9023A</t>
        </is>
      </c>
      <c r="E38" s="34" t="n">
        <v>8500</v>
      </c>
      <c r="F38" s="33" t="n"/>
      <c r="G38" s="18" t="inlineStr">
        <is>
          <t>Mismatch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6" customWidth="1" min="4" max="4"/>
    <col width="6" customWidth="1" min="5" max="5"/>
  </cols>
  <sheetData>
    <row r="1" ht="19.5" customHeight="1">
      <c r="A1" s="29" t="inlineStr">
        <is>
          <t>Control Checks — Reconciliation Audit Trail</t>
        </is>
      </c>
    </row>
    <row r="2" ht="15.75" customHeight="1">
      <c r="A2" s="30" t="inlineStr">
        <is>
          <t>All figures are calculated directly from the detail tabs, so this panel always reflects current data.</t>
        </is>
      </c>
    </row>
    <row r="4" ht="19.5" customHeight="1">
      <c r="A4" s="37" t="inlineStr">
        <is>
          <t>Control</t>
        </is>
      </c>
      <c r="B4" s="37" t="inlineStr">
        <is>
          <t>RecliQ_Universal_Reconciliation_Master_Test - Book.xlsx (File 1)</t>
        </is>
      </c>
      <c r="C4" s="37" t="inlineStr">
        <is>
          <t>RecliQ_Universal_Reconciliation_Master_Test - portal.xlsx (File 2)</t>
        </is>
      </c>
      <c r="D4" s="37" t="inlineStr">
        <is>
          <t>Result</t>
        </is>
      </c>
    </row>
    <row r="5">
      <c r="A5" s="15" t="inlineStr">
        <is>
          <t>Total records in scope</t>
        </is>
      </c>
      <c r="B5" s="38">
        <f>COUNTA('03 Matched Records'!C5:C5)+SUM('02 Exceptions'!L5:L38)+COUNTA('05 Missing - RecliQ_Universal_R'!A5:A6)</f>
        <v/>
      </c>
      <c r="C5" s="38">
        <f>COUNTA('03 Matched Records'!C5:C5)+SUM('02 Exceptions'!L5:L38)+COUNTA('04 Missing - RecliQ_Universal_R'!A5:A8)</f>
        <v/>
      </c>
      <c r="D5" s="39">
        <f>IF(B5=C5,"Pass","Review")</f>
        <v/>
      </c>
    </row>
    <row r="6">
      <c r="A6" s="18" t="inlineStr">
        <is>
          <t>Matched records (no differences)</t>
        </is>
      </c>
      <c r="B6" s="40">
        <f>COUNTA('03 Matched Records'!C5:C5)</f>
        <v/>
      </c>
      <c r="C6" s="40">
        <f>COUNTA('03 Matched Records'!C5:C5)</f>
        <v/>
      </c>
      <c r="D6" s="41">
        <f>IF(B6=C6,"Pass","Review")</f>
        <v/>
      </c>
    </row>
    <row r="7">
      <c r="A7" s="15" t="inlineStr">
        <is>
          <t>Exception records (1+ field mismatch)</t>
        </is>
      </c>
      <c r="B7" s="38">
        <f>SUM('02 Exceptions'!L5:L38)</f>
        <v/>
      </c>
      <c r="C7" s="38">
        <f>SUM('02 Exceptions'!L5:L38)</f>
        <v/>
      </c>
      <c r="D7" s="39">
        <f>IF(B7=0,"Pass","Review Required")</f>
        <v/>
      </c>
    </row>
    <row r="8">
      <c r="A8" s="18" t="inlineStr">
        <is>
          <t>Records missing from RecliQ_Universal_Reconciliation_Master_Test - Book.xlsx</t>
        </is>
      </c>
      <c r="B8" s="40">
        <f>COUNTA('04 Missing - RecliQ_Universal_R'!A5:A8)</f>
        <v/>
      </c>
      <c r="C8" s="40" t="inlineStr">
        <is>
          <t>—</t>
        </is>
      </c>
      <c r="D8" s="41">
        <f>IF(B8=0,"Pass","Review Required")</f>
        <v/>
      </c>
    </row>
    <row r="9">
      <c r="A9" s="15" t="inlineStr">
        <is>
          <t>Records missing from RecliQ_Universal_Reconciliation_Master_Test - portal.xlsx</t>
        </is>
      </c>
      <c r="B9" s="38" t="inlineStr">
        <is>
          <t>—</t>
        </is>
      </c>
      <c r="C9" s="38">
        <f>COUNTA('05 Missing - RecliQ_Universal_R'!A5:A6)</f>
        <v/>
      </c>
      <c r="D9" s="39">
        <f>IF(C9=0,"Pass","Review Required")</f>
        <v/>
      </c>
    </row>
    <row r="11">
      <c r="A11" s="42" t="inlineStr">
        <is>
          <t>Methodology</t>
        </is>
      </c>
    </row>
    <row r="12">
      <c r="A12" s="30" t="inlineStr">
        <is>
          <t>• Matching key: INVOICE NO (case-insensitive, numeric-normalized).</t>
        </is>
      </c>
    </row>
    <row r="13">
      <c r="A13" s="30" t="inlineStr">
        <is>
          <t>• 'Total records in scope' = Matched + Exception + records missing from the opposite file.</t>
        </is>
      </c>
    </row>
    <row r="14">
      <c r="A14" s="30" t="inlineStr">
        <is>
          <t>• An 'Exception record' has 1 or more field-level mismatches — see tab '02 Exceptions' for detail.</t>
        </is>
      </c>
    </row>
    <row r="15">
      <c r="A15" s="30" t="inlineStr">
        <is>
          <t>• Source files: RecliQ_Universal_Reconciliation_Master_Test - Book.xlsx vs RecliQ_Universal_Reconciliation_Master_Test - portal.xlsx.</t>
        </is>
      </c>
    </row>
  </sheetData>
  <mergeCells count="6">
    <mergeCell ref="A12:D12"/>
    <mergeCell ref="A15:D15"/>
    <mergeCell ref="A2:G2"/>
    <mergeCell ref="A1:E1"/>
    <mergeCell ref="A13:D13"/>
    <mergeCell ref="A14:D14"/>
  </mergeCells>
  <conditionalFormatting sqref="D5:D9">
    <cfRule type="cellIs" priority="1" operator="equal" dxfId="0">
      <formula>"Pass"</formula>
    </cfRule>
    <cfRule type="cellIs" priority="2" operator="equal" dxfId="1">
      <formula>"Review Required"</formula>
    </cfRule>
    <cfRule type="cellIs" priority="3" operator="equal" dxfId="1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2026-09-06T23:08:35Z</dcterms:created>
  <dcterms:modified xmlns:dcterms="http://purl.org/dc/terms/" xmlns:xsi="http://www.w3.org/2001/XMLSchema-instance" xsi:type="dcterms:W3CDTF">2026-09-06T23:08:36Z</dcterms:modified>
</cp:coreProperties>
</file>