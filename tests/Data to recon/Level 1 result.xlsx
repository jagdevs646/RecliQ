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Executive Summary" sheetId="1" state="visible" r:id="rId1"/>
    <sheet name="02 Exceptions" sheetId="2" state="visible" r:id="rId2"/>
    <sheet name="03 Matched Records" sheetId="3" state="visible" r:id="rId3"/>
    <sheet name="04 Missing - RecliQ_All_5_Level" sheetId="4" state="visible" r:id="rId4"/>
    <sheet name="05 Missing - RecliQ_All_5_Level" sheetId="5" state="visible" r:id="rId5"/>
    <sheet name="06 Field Differences" sheetId="6" state="visible" r:id="rId6"/>
    <sheet name="07 Control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b val="1"/>
      <color rgb="001F3864"/>
      <sz val="12"/>
    </font>
    <font>
      <name val="Arial"/>
      <b val="1"/>
      <color rgb="00595959"/>
      <sz val="8"/>
    </font>
    <font>
      <name val="Arial"/>
      <b val="1"/>
      <color rgb="001F3864"/>
      <sz val="20"/>
    </font>
    <font>
      <name val="Arial"/>
      <b val="1"/>
      <color rgb="001E7B34"/>
      <sz val="20"/>
    </font>
    <font>
      <name val="Arial"/>
      <b val="1"/>
      <color rgb="00B36A00"/>
      <sz val="20"/>
    </font>
    <font>
      <name val="Arial"/>
      <b val="1"/>
      <color rgb="00A6192E"/>
      <sz val="20"/>
    </font>
    <font>
      <name val="Arial"/>
      <color rgb="00595959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sz val="9.5"/>
    </font>
    <font>
      <name val="Arial"/>
      <b val="1"/>
      <color rgb="001F3864"/>
      <sz val="13"/>
    </font>
    <font>
      <name val="Arial"/>
      <color rgb="00595959"/>
      <sz val="9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3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3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0" fontId="12" fillId="0" borderId="1" pivotButton="0" quotePrefix="0" xfId="0"/>
    <xf numFmtId="3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3" fontId="14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1E7B34"/>
        <sz val="9"/>
      </font>
      <fill>
        <patternFill patternType="solid">
          <fgColor rgb="00D5F5E3"/>
          <bgColor rgb="00D5F5E3"/>
        </patternFill>
      </fill>
    </dxf>
    <dxf>
      <font>
        <name val="Arial"/>
        <b val="1"/>
        <color rgb="00C0392B"/>
        <sz val="9"/>
      </font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Reconciliation Outcome</a:t>
            </a:r>
          </a:p>
        </rich>
      </tx>
    </title>
    <plotArea>
      <doughnutChart>
        <varyColors val="1"/>
        <ser>
          <idx val="0"/>
          <order val="0"/>
          <tx>
            <strRef>
              <f>'01 Executive Summary'!C10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E7B34"/>
              </a:solidFill>
              <a:ln>
                <a:prstDash val="solid"/>
              </a:ln>
            </spPr>
          </dPt>
          <dPt>
            <idx val="1"/>
            <spPr>
              <a:solidFill>
                <a:srgbClr val="B36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A6192E"/>
              </a:solidFill>
              <a:ln>
                <a:prstDash val="solid"/>
              </a:ln>
            </spPr>
          </dPt>
          <dPt>
            <idx val="3"/>
            <spPr>
              <a:solidFill>
                <a:srgbClr val="7A0C1E"/>
              </a:solidFill>
              <a:ln>
                <a:prstDash val="solid"/>
              </a:ln>
            </spPr>
          </dPt>
          <cat>
            <numRef>
              <f>'01 Executive Summary'!$B$11:$B$14</f>
            </numRef>
          </cat>
          <val>
            <numRef>
              <f>'01 Executive Summary'!$C$11:$C$14</f>
            </numRef>
          </val>
        </ser>
        <firstSliceAng val="0"/>
        <holeSize val="50"/>
      </doughnut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Field-Level Mismatches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Executive Summary'!D25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'01 Executive Summary'!$B$26</f>
            </numRef>
          </cat>
          <val>
            <numRef>
              <f>'01 Executive Summary'!$D$26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61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22</row>
      <rowOff>0</rowOff>
    </from>
    <ext cx="6120000" cy="37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tchedRecordsTbl" displayName="MatchedRecordsTbl" ref="A4:G8" headerRowCount="1">
  <autoFilter ref="A4:G8"/>
  <tableColumns count="7">
    <tableColumn id="1" name="RecliQ_All_5_Levels_Test - Books.xlsx Row"/>
    <tableColumn id="2" name="RecliQ_All_5_Levels_Test - Portal.xlsx Row"/>
    <tableColumn id="3" name="INVOICE NO (RecliQ_All_5_Levels_Test - Books.xlsx)"/>
    <tableColumn id="4" name="INVOICE NO (RecliQ_All_5_Levels_Test - Portal.xlsx)"/>
    <tableColumn id="5" name="Match Type"/>
    <tableColumn id="6" name="Match Confidence"/>
    <tableColumn id="7" name="Match 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N42"/>
  <sheetViews>
    <sheetView showGridLines="0" workbookViewId="0">
      <selection activeCell="A1" sqref="A1"/>
    </sheetView>
  </sheetViews>
  <sheetFormatPr baseColWidth="8" defaultRowHeight="15"/>
  <cols>
    <col width="2.44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.44" customWidth="1" min="14" max="14"/>
  </cols>
  <sheetData>
    <row r="1" ht="33.75" customHeight="1">
      <c r="B1" s="1" t="inlineStr">
        <is>
          <t>RECLIQ  |  RECONCILIATION EXECUTIVE SUMMARY</t>
        </is>
      </c>
    </row>
    <row r="2" ht="19.5" customHeight="1">
      <c r="B2" s="2" t="inlineStr">
        <is>
          <t>RecliQ_All_5_Levels_Test - Books.xlsx  vs.  RecliQ_All_5_Levels_Test - Portal.xlsx     •     Matching Key: INVOICE NO     •     Report Generated: September 06, 2026</t>
        </is>
      </c>
    </row>
    <row r="4" ht="21.75" customHeight="1">
      <c r="B4" s="3" t="inlineStr">
        <is>
          <t>KEY METRICS</t>
        </is>
      </c>
    </row>
    <row r="5" ht="15.75" customHeight="1">
      <c r="B5" s="4" t="inlineStr">
        <is>
          <t>TOTAL RECORDS IN SCOPE</t>
        </is>
      </c>
      <c r="C5" s="5" t="n"/>
      <c r="D5" s="4" t="inlineStr">
        <is>
          <t>MATCHED</t>
        </is>
      </c>
      <c r="E5" s="5" t="n"/>
      <c r="F5" s="4" t="inlineStr">
        <is>
          <t>EXCEPTIONS</t>
        </is>
      </c>
      <c r="G5" s="5" t="n"/>
      <c r="H5" s="4" t="inlineStr">
        <is>
          <t>MISSING</t>
        </is>
      </c>
      <c r="I5" s="5" t="n"/>
      <c r="J5" s="4" t="inlineStr">
        <is>
          <t>MATCH RATE</t>
        </is>
      </c>
      <c r="K5" s="5" t="n"/>
      <c r="L5" s="4" t="inlineStr">
        <is>
          <t>EXCEPTION RATE</t>
        </is>
      </c>
      <c r="M5" s="5" t="n"/>
    </row>
    <row r="6" ht="30" customHeight="1">
      <c r="B6" s="6">
        <f>COUNTA('03 Matched Records'!C5:C8)+SUM('02 Exceptions'!L5:L5)+COUNTA('04 Missing - RecliQ_All_5_Level'!A5:A5)+COUNTA('05 Missing - RecliQ_All_5_Level'!A5:A5)</f>
        <v/>
      </c>
      <c r="C6" s="5" t="n"/>
      <c r="D6" s="7">
        <f>COUNTA('03 Matched Records'!C5:C8)</f>
        <v/>
      </c>
      <c r="E6" s="5" t="n"/>
      <c r="F6" s="8">
        <f>SUM('02 Exceptions'!L5:L5)</f>
        <v/>
      </c>
      <c r="G6" s="5" t="n"/>
      <c r="H6" s="9">
        <f>COUNTA('04 Missing - RecliQ_All_5_Level'!A5:A5)+COUNTA('05 Missing - RecliQ_All_5_Level'!A5:A5)</f>
        <v/>
      </c>
      <c r="I6" s="5" t="n"/>
      <c r="J6" s="10">
        <f>IF($B$6&gt;0,$D$6/$B$6,0)</f>
        <v/>
      </c>
      <c r="K6" s="5" t="n"/>
      <c r="L6" s="11">
        <f>IF($B$6&gt;0,$F$6/$B$6,0)</f>
        <v/>
      </c>
      <c r="M6" s="5" t="n"/>
    </row>
    <row r="7" ht="15.75" customHeight="1">
      <c r="B7" s="12">
        <f>"Unique INVOICE NO across both files"</f>
        <v/>
      </c>
      <c r="C7" s="13" t="n"/>
      <c r="D7" s="12">
        <f>"of "&amp;$B$6&amp;" records reviewed"</f>
        <v/>
      </c>
      <c r="E7" s="13" t="n"/>
      <c r="F7" s="12">
        <f>(COUNTA('02 Exceptions'!B5:B5))&amp;" field-level mismatch(es)"</f>
        <v/>
      </c>
      <c r="G7" s="13" t="n"/>
      <c r="H7" s="12">
        <f>(COUNTA('04 Missing - RecliQ_All_5_Level'!A5:A5))&amp;" + "&amp;(COUNTA('05 Missing - RecliQ_All_5_Level'!A5:A5))&amp;" by source"</f>
        <v/>
      </c>
      <c r="I7" s="13" t="n"/>
      <c r="J7" s="12">
        <f>"records matched cleanly"</f>
        <v/>
      </c>
      <c r="K7" s="13" t="n"/>
      <c r="L7" s="12">
        <f>"records need review"</f>
        <v/>
      </c>
      <c r="M7" s="13" t="n"/>
    </row>
    <row r="9" ht="21.75" customHeight="1">
      <c r="B9" s="3" t="inlineStr">
        <is>
          <t>RECONCILIATION OUTCOME</t>
        </is>
      </c>
    </row>
    <row r="10" ht="15.75" customHeight="1">
      <c r="B10" s="14" t="inlineStr">
        <is>
          <t>Category</t>
        </is>
      </c>
      <c r="C10" s="14" t="inlineStr">
        <is>
          <t>Count</t>
        </is>
      </c>
      <c r="D10" s="14" t="inlineStr">
        <is>
          <t>% of Total</t>
        </is>
      </c>
    </row>
    <row r="11">
      <c r="B11" s="15" t="inlineStr">
        <is>
          <t>Matched</t>
        </is>
      </c>
      <c r="C11" s="16">
        <f>$D$6</f>
        <v/>
      </c>
      <c r="D11" s="17">
        <f>C11/$B$6</f>
        <v/>
      </c>
    </row>
    <row r="12">
      <c r="B12" s="18" t="inlineStr">
        <is>
          <t>Exceptions</t>
        </is>
      </c>
      <c r="C12" s="19">
        <f>$F$6</f>
        <v/>
      </c>
      <c r="D12" s="20">
        <f>C12/$B$6</f>
        <v/>
      </c>
    </row>
    <row r="13">
      <c r="B13" s="15" t="inlineStr">
        <is>
          <t>Missing — RecliQ_All_5_Levels_Test - Books.xlsx</t>
        </is>
      </c>
      <c r="C13" s="16">
        <f>COUNTA('04 Missing - RecliQ_All_5_Level'!A5:A5)</f>
        <v/>
      </c>
      <c r="D13" s="17">
        <f>C13/$B$6</f>
        <v/>
      </c>
    </row>
    <row r="14">
      <c r="B14" s="18" t="inlineStr">
        <is>
          <t>Missing — RecliQ_All_5_Levels_Test - Portal.xlsx</t>
        </is>
      </c>
      <c r="C14" s="19">
        <f>COUNTA('05 Missing - RecliQ_All_5_Level'!A5:A5)</f>
        <v/>
      </c>
      <c r="D14" s="20">
        <f>C14/$B$6</f>
        <v/>
      </c>
    </row>
    <row r="15">
      <c r="B15" s="21" t="inlineStr">
        <is>
          <t>Total</t>
        </is>
      </c>
      <c r="C15" s="22">
        <f>SUM(C11:C14)</f>
        <v/>
      </c>
      <c r="D15" s="23">
        <f>SUM(D11:D14)</f>
        <v/>
      </c>
    </row>
    <row r="17" ht="21.75" customHeight="1">
      <c r="B17" s="3" t="inlineStr">
        <is>
          <t>EXCEPTION BREAKDOWN BY TYPE</t>
        </is>
      </c>
    </row>
    <row r="18" ht="15.75" customHeight="1">
      <c r="B18" s="14" t="inlineStr">
        <is>
          <t>Exception Type</t>
        </is>
      </c>
      <c r="C18" s="14" t="inlineStr">
        <is>
          <t>Count</t>
        </is>
      </c>
      <c r="D18" s="14" t="inlineStr">
        <is>
          <t>% of Total</t>
        </is>
      </c>
    </row>
    <row r="19">
      <c r="B19" s="15" t="inlineStr">
        <is>
          <t>Value Difference</t>
        </is>
      </c>
      <c r="C19" s="16">
        <f>COUNTIFS('02 Exceptions'!$H$5:$H$5,"Value Difference")</f>
        <v/>
      </c>
      <c r="D19" s="17">
        <f>C19/SUM($C$19:$C$22)</f>
        <v/>
      </c>
    </row>
    <row r="20">
      <c r="B20" s="18" t="inlineStr">
        <is>
          <t>Text Difference</t>
        </is>
      </c>
      <c r="C20" s="19">
        <f>COUNTIFS('02 Exceptions'!$H$5:$H$5,"Text Difference")</f>
        <v/>
      </c>
      <c r="D20" s="20">
        <f>C20/SUM($C$19:$C$22)</f>
        <v/>
      </c>
    </row>
    <row r="21">
      <c r="B21" s="15" t="inlineStr">
        <is>
          <t>Missing — RecliQ_All_5_Levels_Test - Books.xlsx</t>
        </is>
      </c>
      <c r="C21" s="16">
        <f>COUNTA('04 Missing - RecliQ_All_5_Level'!A5:A5)</f>
        <v/>
      </c>
      <c r="D21" s="17">
        <f>C21/SUM($C$19:$C$22)</f>
        <v/>
      </c>
    </row>
    <row r="22">
      <c r="B22" s="18" t="inlineStr">
        <is>
          <t>Missing — RecliQ_All_5_Levels_Test - Portal.xlsx</t>
        </is>
      </c>
      <c r="C22" s="19">
        <f>COUNTA('05 Missing - RecliQ_All_5_Level'!A5:A5)</f>
        <v/>
      </c>
      <c r="D22" s="20">
        <f>C22/SUM($C$19:$C$22)</f>
        <v/>
      </c>
    </row>
    <row r="24" ht="21.75" customHeight="1">
      <c r="B24" s="3" t="inlineStr">
        <is>
          <t>FIELD-LEVEL PERFORMANCE</t>
        </is>
      </c>
    </row>
    <row r="25" ht="15.75" customHeight="1">
      <c r="B25" s="14" t="inlineStr">
        <is>
          <t>Field</t>
        </is>
      </c>
      <c r="C25" s="14" t="inlineStr">
        <is>
          <t>Matched</t>
        </is>
      </c>
      <c r="D25" s="14" t="inlineStr">
        <is>
          <t>Mismatches</t>
        </is>
      </c>
      <c r="E25" s="14" t="inlineStr">
        <is>
          <t>Match Rate</t>
        </is>
      </c>
    </row>
    <row r="26">
      <c r="B26" s="15" t="inlineStr">
        <is>
          <t>Sample Field</t>
        </is>
      </c>
      <c r="C26" s="16">
        <f>$D$6</f>
        <v/>
      </c>
      <c r="D26" s="16">
        <f>COUNTIFS('02 Exceptions'!$C$5:$C$5,B26)</f>
        <v/>
      </c>
      <c r="E26" s="17">
        <f>IF((C26+D26)&gt;0,C26/(C26+D26),0)</f>
        <v/>
      </c>
    </row>
    <row r="30" ht="21.75" customHeight="1">
      <c r="B30" s="3" t="inlineStr">
        <is>
          <t>KEY INSIGHTS</t>
        </is>
      </c>
    </row>
    <row r="31" ht="15.75" customHeight="1">
      <c r="B31" s="24">
        <f>"•  "&amp;TEXT($J$6,"0.0%")&amp;" of records matched perfectly ("&amp;$D$6&amp;" of "&amp;$B$6&amp;")."</f>
        <v/>
      </c>
    </row>
    <row r="32" ht="15.75" customHeight="1">
      <c r="B32" s="24">
        <f>"•  "&amp;$F$6&amp;" discrepant record(s) identified ("&amp;(COUNTA('02 Exceptions'!B5:B5))&amp;" field mismatches) — review required."</f>
        <v/>
      </c>
    </row>
    <row r="33" ht="15.75" customHeight="1">
      <c r="B33" s="24">
        <f>"•  "&amp;(COUNTA('04 Missing - RecliQ_All_5_Level'!A5:A5)+COUNTA('05 Missing - RecliQ_All_5_Level'!A5:A5))&amp;" record(s) missing from one or both sources ("&amp;(COUNTA('04 Missing - RecliQ_All_5_Level'!A5:A5))&amp;" RecliQ_All_5_Levels_Test - Books.xlsx, "&amp;(COUNTA('05 Missing - RecliQ_All_5_Level'!A5:A5))&amp;" RecliQ_All_5_Levels_Test - Portal.xlsx)."</f>
        <v/>
      </c>
    </row>
    <row r="34" ht="15.75" customHeight="1">
      <c r="B34" s="24">
        <f>"•  Field '"&amp;INDEX($B$26:$B$26,MATCH(MAX($D$26:$D$26),$D$26:$D$26,0))&amp;"' has the highest exception count ("&amp;MAX($D$26:$D$26)&amp;")."</f>
        <v/>
      </c>
    </row>
    <row r="36" ht="21.75" customHeight="1">
      <c r="B36" s="3" t="inlineStr">
        <is>
          <t>CONTROL SUMMARY</t>
        </is>
      </c>
    </row>
    <row r="37" ht="15.75" customHeight="1">
      <c r="B37" s="4" t="inlineStr">
        <is>
          <t>Total Records</t>
        </is>
      </c>
      <c r="C37" s="5" t="n"/>
      <c r="D37" s="5" t="n"/>
      <c r="E37" s="4" t="inlineStr">
        <is>
          <t>Outstanding Exceptions</t>
        </is>
      </c>
      <c r="F37" s="5" t="n"/>
      <c r="G37" s="5" t="n"/>
      <c r="H37" s="4" t="inlineStr">
        <is>
          <t>Missing Records</t>
        </is>
      </c>
      <c r="I37" s="5" t="n"/>
      <c r="J37" s="5" t="n"/>
      <c r="K37" s="4" t="inlineStr">
        <is>
          <t>Full Audit Trail</t>
        </is>
      </c>
      <c r="L37" s="5" t="n"/>
      <c r="M37" s="5" t="n"/>
    </row>
    <row r="38" ht="21.75" customHeight="1">
      <c r="B38" s="25">
        <f>$B$6</f>
        <v/>
      </c>
      <c r="C38" s="5" t="n"/>
      <c r="D38" s="5" t="n"/>
      <c r="E38" s="25">
        <f>$F$6</f>
        <v/>
      </c>
      <c r="F38" s="5" t="n"/>
      <c r="G38" s="5" t="n"/>
      <c r="H38" s="25">
        <f>$H$6</f>
        <v/>
      </c>
      <c r="I38" s="5" t="n"/>
      <c r="J38" s="5" t="n"/>
      <c r="K38" s="26" t="inlineStr">
        <is>
          <t>See tab 07</t>
        </is>
      </c>
      <c r="L38" s="5" t="n"/>
      <c r="M38" s="5" t="n"/>
    </row>
    <row r="40">
      <c r="B40" s="27" t="inlineStr">
        <is>
          <t>Full detail, formulas, and audit trail for every figure above are available on tabs 02–07 of this workbook.</t>
        </is>
      </c>
    </row>
    <row r="42">
      <c r="B42" s="28" t="inlineStr">
        <is>
          <t>RecliQ Reconciliation Engine  •  Confidential — Internal Use Only</t>
        </is>
      </c>
    </row>
  </sheetData>
  <mergeCells count="40">
    <mergeCell ref="L7:M7"/>
    <mergeCell ref="B7:C7"/>
    <mergeCell ref="J5:K5"/>
    <mergeCell ref="B42:M42"/>
    <mergeCell ref="F6:G6"/>
    <mergeCell ref="B33:N33"/>
    <mergeCell ref="B38:D38"/>
    <mergeCell ref="F7:G7"/>
    <mergeCell ref="D6:E6"/>
    <mergeCell ref="B37:D37"/>
    <mergeCell ref="H6:I6"/>
    <mergeCell ref="J6:K6"/>
    <mergeCell ref="B32:N32"/>
    <mergeCell ref="B4:N4"/>
    <mergeCell ref="F5:G5"/>
    <mergeCell ref="H37:J37"/>
    <mergeCell ref="L5:M5"/>
    <mergeCell ref="B40:M40"/>
    <mergeCell ref="B30:M30"/>
    <mergeCell ref="B17:F17"/>
    <mergeCell ref="K38:M38"/>
    <mergeCell ref="D7:E7"/>
    <mergeCell ref="B31:N31"/>
    <mergeCell ref="H7:I7"/>
    <mergeCell ref="E37:G37"/>
    <mergeCell ref="K37:M37"/>
    <mergeCell ref="J7:K7"/>
    <mergeCell ref="B36:M36"/>
    <mergeCell ref="B2:N2"/>
    <mergeCell ref="B9:F9"/>
    <mergeCell ref="H38:J38"/>
    <mergeCell ref="B6:C6"/>
    <mergeCell ref="B24:F24"/>
    <mergeCell ref="L6:M6"/>
    <mergeCell ref="B1:N1"/>
    <mergeCell ref="B5:C5"/>
    <mergeCell ref="D5:E5"/>
    <mergeCell ref="H5:I5"/>
    <mergeCell ref="B34:N34"/>
    <mergeCell ref="E38:G3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L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5" customWidth="1" min="1" max="1"/>
    <col width="21.5" customWidth="1" min="2" max="2"/>
    <col width="16" customWidth="1" min="3" max="3"/>
    <col width="20.5" customWidth="1" min="4" max="4"/>
    <col width="20" customWidth="1" min="5" max="5"/>
    <col width="14.5" customWidth="1" min="6" max="6"/>
    <col width="16.5" customWidth="1" min="7" max="7"/>
    <col width="19" customWidth="1" min="8" max="8"/>
    <col width="12.5" customWidth="1" min="9" max="9"/>
    <col width="11.5" customWidth="1" min="10" max="10"/>
    <col width="16.5" customWidth="1" min="11" max="11"/>
    <col width="14.5" customWidth="1" min="12" max="12"/>
  </cols>
  <sheetData>
    <row r="1" ht="19.5" customHeight="1">
      <c r="A1" s="29" t="inlineStr">
        <is>
          <t>Exception Log — Field-Level Mismatches</t>
        </is>
      </c>
    </row>
    <row r="2" ht="15.75" customHeight="1">
      <c r="A2" s="30" t="inlineStr">
        <is>
          <t>Records present in both files where one or more compared fields did not match. One row per field-level mismatch; a record may appear more than once.</t>
        </is>
      </c>
    </row>
    <row r="4" ht="19.5" customHeight="1">
      <c r="A4" s="14" t="inlineStr">
        <is>
          <t>Exception ID</t>
        </is>
      </c>
      <c r="B4" s="14" t="inlineStr">
        <is>
          <t>Match Key (INVOICE NO)</t>
        </is>
      </c>
      <c r="C4" s="14" t="inlineStr">
        <is>
          <t>Field</t>
        </is>
      </c>
      <c r="D4" s="14" t="inlineStr">
        <is>
          <t>RecliQ_All_5_Levels_Test - Books.xlsx Value</t>
        </is>
      </c>
      <c r="E4" s="14" t="inlineStr">
        <is>
          <t>RecliQ_All_5_Levels_Test - Portal.xlsx Value</t>
        </is>
      </c>
      <c r="F4" s="14" t="inlineStr">
        <is>
          <t>Difference</t>
        </is>
      </c>
      <c r="G4" s="14" t="inlineStr">
        <is>
          <t>Difference %</t>
        </is>
      </c>
      <c r="H4" s="14" t="inlineStr">
        <is>
          <t>Exception Type</t>
        </is>
      </c>
      <c r="I4" s="14" t="inlineStr">
        <is>
          <t>Severity</t>
        </is>
      </c>
      <c r="J4" s="14" t="inlineStr">
        <is>
          <t>Status</t>
        </is>
      </c>
      <c r="K4" s="14" t="inlineStr">
        <is>
          <t>Action Notes</t>
        </is>
      </c>
      <c r="L4" s="14" t="inlineStr">
        <is>
          <t>Distinct Record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B34"/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</cols>
  <sheetData>
    <row r="1" ht="19.5" customHeight="1">
      <c r="A1" s="29" t="inlineStr">
        <is>
          <t>Matched Records — Audit Log</t>
        </is>
      </c>
    </row>
    <row r="2" ht="15.75" customHeight="1">
      <c r="A2" s="30" t="inlineStr">
        <is>
          <t>Records that matched perfectly across all compared fields. Read-only audit log.</t>
        </is>
      </c>
    </row>
    <row r="4" ht="19.5" customHeight="1">
      <c r="A4" s="14" t="inlineStr">
        <is>
          <t>RecliQ_All_5_Levels_Test - Books.xlsx Row</t>
        </is>
      </c>
      <c r="B4" s="14" t="inlineStr">
        <is>
          <t>RecliQ_All_5_Levels_Test - Portal.xlsx Row</t>
        </is>
      </c>
      <c r="C4" s="14" t="inlineStr">
        <is>
          <t>INVOICE NO (RecliQ_All_5_Levels_Test - Books.xlsx)</t>
        </is>
      </c>
      <c r="D4" s="14" t="inlineStr">
        <is>
          <t>INVOICE NO (RecliQ_All_5_Levels_Test - Portal.xlsx)</t>
        </is>
      </c>
      <c r="E4" s="14" t="inlineStr">
        <is>
          <t>Match Type</t>
        </is>
      </c>
      <c r="F4" s="14" t="inlineStr">
        <is>
          <t>Match Confidence</t>
        </is>
      </c>
      <c r="G4" s="14" t="inlineStr">
        <is>
          <t>Match Status</t>
        </is>
      </c>
    </row>
    <row r="5">
      <c r="A5" s="31" t="n">
        <v>2</v>
      </c>
      <c r="B5" s="31" t="n">
        <v>2</v>
      </c>
      <c r="C5" s="15" t="inlineStr">
        <is>
          <t>INV001</t>
        </is>
      </c>
      <c r="D5" s="15" t="inlineStr">
        <is>
          <t>INV001</t>
        </is>
      </c>
      <c r="E5" s="31" t="inlineStr">
        <is>
          <t>invoice</t>
        </is>
      </c>
      <c r="F5" s="31" t="inlineStr">
        <is>
          <t>100%</t>
        </is>
      </c>
      <c r="G5" s="31" t="inlineStr">
        <is>
          <t>Exact identifier match</t>
        </is>
      </c>
    </row>
    <row r="6">
      <c r="A6" s="32" t="n">
        <v>3</v>
      </c>
      <c r="B6" s="32" t="n">
        <v>3</v>
      </c>
      <c r="C6" s="18" t="inlineStr">
        <is>
          <t>INV002</t>
        </is>
      </c>
      <c r="D6" s="18" t="inlineStr">
        <is>
          <t>INV002</t>
        </is>
      </c>
      <c r="E6" s="32" t="inlineStr">
        <is>
          <t>invoice</t>
        </is>
      </c>
      <c r="F6" s="32" t="inlineStr">
        <is>
          <t>100%</t>
        </is>
      </c>
      <c r="G6" s="32" t="inlineStr">
        <is>
          <t>Exact identifier match</t>
        </is>
      </c>
    </row>
    <row r="7">
      <c r="A7" s="31" t="n">
        <v>4</v>
      </c>
      <c r="B7" s="31" t="n">
        <v>4</v>
      </c>
      <c r="C7" s="15" t="inlineStr">
        <is>
          <t>INV003</t>
        </is>
      </c>
      <c r="D7" s="15" t="inlineStr">
        <is>
          <t>INV003</t>
        </is>
      </c>
      <c r="E7" s="31" t="inlineStr">
        <is>
          <t>invoice</t>
        </is>
      </c>
      <c r="F7" s="31" t="inlineStr">
        <is>
          <t>100%</t>
        </is>
      </c>
      <c r="G7" s="31" t="inlineStr">
        <is>
          <t>Exact identifier match</t>
        </is>
      </c>
    </row>
    <row r="8">
      <c r="A8" s="32" t="n">
        <v>5</v>
      </c>
      <c r="B8" s="32" t="n">
        <v>5</v>
      </c>
      <c r="C8" s="18" t="inlineStr">
        <is>
          <t>INV004</t>
        </is>
      </c>
      <c r="D8" s="18" t="inlineStr">
        <is>
          <t>INV004</t>
        </is>
      </c>
      <c r="E8" s="32" t="inlineStr">
        <is>
          <t>invoice</t>
        </is>
      </c>
      <c r="F8" s="32" t="inlineStr">
        <is>
          <t>100%</t>
        </is>
      </c>
      <c r="G8" s="32" t="inlineStr">
        <is>
          <t>Exact identifier match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A6192E"/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</cols>
  <sheetData>
    <row r="1" ht="19.5" customHeight="1">
      <c r="A1" s="29" t="inlineStr">
        <is>
          <t>Missing from RecliQ_All_5_Levels_Test - Books.xlsx (File 1)</t>
        </is>
      </c>
    </row>
    <row r="2" ht="15.75" customHeight="1">
      <c r="A2" s="30" t="inlineStr">
        <is>
          <t>Records present in RecliQ_All_5_Levels_Test - Portal.xlsx but with no matching INVOICE NO found in RecliQ_All_5_Levels_Test - Books.xlsx.</t>
        </is>
      </c>
    </row>
    <row r="4" ht="27.75" customHeight="1">
      <c r="A4" s="33" t="inlineStr">
        <is>
          <t>INVOICE NO</t>
        </is>
      </c>
      <c r="B4" s="33" t="inlineStr">
        <is>
          <t>RecliQ_All_5_Levels_Test - Portal.xlsx Row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6192E"/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</cols>
  <sheetData>
    <row r="1" ht="19.5" customHeight="1">
      <c r="A1" s="29" t="inlineStr">
        <is>
          <t>Missing from RecliQ_All_5_Levels_Test - Portal.xlsx (File 2)</t>
        </is>
      </c>
    </row>
    <row r="2" ht="15.75" customHeight="1">
      <c r="A2" s="30" t="inlineStr">
        <is>
          <t>Records present in RecliQ_All_5_Levels_Test - Books.xlsx but with no matching INVOICE NO found in RecliQ_All_5_Levels_Test - Portal.xlsx.</t>
        </is>
      </c>
    </row>
    <row r="4" ht="27.75" customHeight="1">
      <c r="A4" s="33" t="inlineStr">
        <is>
          <t>INVOICE NO</t>
        </is>
      </c>
      <c r="B4" s="33" t="inlineStr">
        <is>
          <t>RecliQ_All_5_Levels_Test - Books.xlsx Row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36A00"/>
    <outlinePr summaryBelow="1" summaryRight="1"/>
    <pageSetUpPr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19.5" customHeight="1">
      <c r="A1" s="29" t="inlineStr">
        <is>
          <t>Field Differences — Granular Side-by-Side Comparison</t>
        </is>
      </c>
    </row>
    <row r="2" ht="15.75" customHeight="1">
      <c r="A2" s="30" t="inlineStr">
        <is>
          <t>Detailed breakdown of every field-level difference between matched record pairs.</t>
        </is>
      </c>
    </row>
    <row r="4" ht="19.5" customHeight="1">
      <c r="A4" s="14" t="inlineStr">
        <is>
          <t>Match Key (INVOICE NO)</t>
        </is>
      </c>
      <c r="B4" s="14" t="inlineStr">
        <is>
          <t>Field</t>
        </is>
      </c>
      <c r="C4" s="14" t="inlineStr">
        <is>
          <t>RecliQ_All_5_Levels_Test - Books.xlsx Value</t>
        </is>
      </c>
      <c r="D4" s="14" t="inlineStr">
        <is>
          <t>RecliQ_All_5_Levels_Test - Portal.xlsx Value</t>
        </is>
      </c>
      <c r="E4" s="14" t="inlineStr">
        <is>
          <t>Difference</t>
        </is>
      </c>
      <c r="F4" s="14" t="inlineStr">
        <is>
          <t>Difference %</t>
        </is>
      </c>
      <c r="G4" s="14" t="inlineStr">
        <is>
          <t>Result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6" customWidth="1" min="4" max="4"/>
    <col width="6" customWidth="1" min="5" max="5"/>
  </cols>
  <sheetData>
    <row r="1" ht="19.5" customHeight="1">
      <c r="A1" s="29" t="inlineStr">
        <is>
          <t>Control Checks — Reconciliation Audit Trail</t>
        </is>
      </c>
    </row>
    <row r="2" ht="15.75" customHeight="1">
      <c r="A2" s="30" t="inlineStr">
        <is>
          <t>All figures are calculated directly from the detail tabs, so this panel always reflects current data.</t>
        </is>
      </c>
    </row>
    <row r="4" ht="19.5" customHeight="1">
      <c r="A4" s="33" t="inlineStr">
        <is>
          <t>Control</t>
        </is>
      </c>
      <c r="B4" s="33" t="inlineStr">
        <is>
          <t>RecliQ_All_5_Levels_Test - Books.xlsx (File 1)</t>
        </is>
      </c>
      <c r="C4" s="33" t="inlineStr">
        <is>
          <t>RecliQ_All_5_Levels_Test - Portal.xlsx (File 2)</t>
        </is>
      </c>
      <c r="D4" s="33" t="inlineStr">
        <is>
          <t>Result</t>
        </is>
      </c>
    </row>
    <row r="5">
      <c r="A5" s="15" t="inlineStr">
        <is>
          <t>Total records in scope</t>
        </is>
      </c>
      <c r="B5" s="31">
        <f>COUNTA('03 Matched Records'!C5:C8)+SUM('02 Exceptions'!L5:L5)+COUNTA('05 Missing - RecliQ_All_5_Level'!A5:A5)</f>
        <v/>
      </c>
      <c r="C5" s="31">
        <f>COUNTA('03 Matched Records'!C5:C8)+SUM('02 Exceptions'!L5:L5)+COUNTA('04 Missing - RecliQ_All_5_Level'!A5:A5)</f>
        <v/>
      </c>
      <c r="D5" s="34">
        <f>IF(B5=C5,"Pass","Review")</f>
        <v/>
      </c>
    </row>
    <row r="6">
      <c r="A6" s="18" t="inlineStr">
        <is>
          <t>Matched records (no differences)</t>
        </is>
      </c>
      <c r="B6" s="32">
        <f>COUNTA('03 Matched Records'!C5:C8)</f>
        <v/>
      </c>
      <c r="C6" s="32">
        <f>COUNTA('03 Matched Records'!C5:C8)</f>
        <v/>
      </c>
      <c r="D6" s="35">
        <f>IF(B6=C6,"Pass","Review")</f>
        <v/>
      </c>
    </row>
    <row r="7">
      <c r="A7" s="15" t="inlineStr">
        <is>
          <t>Exception records (1+ field mismatch)</t>
        </is>
      </c>
      <c r="B7" s="31">
        <f>SUM('02 Exceptions'!L5:L5)</f>
        <v/>
      </c>
      <c r="C7" s="31">
        <f>SUM('02 Exceptions'!L5:L5)</f>
        <v/>
      </c>
      <c r="D7" s="34">
        <f>IF(B7=0,"Pass","Review Required")</f>
        <v/>
      </c>
    </row>
    <row r="8">
      <c r="A8" s="18" t="inlineStr">
        <is>
          <t>Records missing from RecliQ_All_5_Levels_Test - Books.xlsx</t>
        </is>
      </c>
      <c r="B8" s="32">
        <f>COUNTA('04 Missing - RecliQ_All_5_Level'!A5:A5)</f>
        <v/>
      </c>
      <c r="C8" s="32" t="inlineStr">
        <is>
          <t>—</t>
        </is>
      </c>
      <c r="D8" s="35">
        <f>IF(B8=0,"Pass","Review Required")</f>
        <v/>
      </c>
    </row>
    <row r="9">
      <c r="A9" s="15" t="inlineStr">
        <is>
          <t>Records missing from RecliQ_All_5_Levels_Test - Portal.xlsx</t>
        </is>
      </c>
      <c r="B9" s="31" t="inlineStr">
        <is>
          <t>—</t>
        </is>
      </c>
      <c r="C9" s="31">
        <f>COUNTA('05 Missing - RecliQ_All_5_Level'!A5:A5)</f>
        <v/>
      </c>
      <c r="D9" s="34">
        <f>IF(C9=0,"Pass","Review Required")</f>
        <v/>
      </c>
    </row>
    <row r="11">
      <c r="A11" s="36" t="inlineStr">
        <is>
          <t>Methodology</t>
        </is>
      </c>
    </row>
    <row r="12">
      <c r="A12" s="30" t="inlineStr">
        <is>
          <t>• Matching key: INVOICE NO (case-insensitive, numeric-normalized).</t>
        </is>
      </c>
    </row>
    <row r="13">
      <c r="A13" s="30" t="inlineStr">
        <is>
          <t>• 'Total records in scope' = Matched + Exception + records missing from the opposite file.</t>
        </is>
      </c>
    </row>
    <row r="14">
      <c r="A14" s="30" t="inlineStr">
        <is>
          <t>• An 'Exception record' has 1 or more field-level mismatches — see tab '02 Exceptions' for detail.</t>
        </is>
      </c>
    </row>
    <row r="15">
      <c r="A15" s="30" t="inlineStr">
        <is>
          <t>• Source files: RecliQ_All_5_Levels_Test - Books.xlsx vs RecliQ_All_5_Levels_Test - Portal.xlsx.</t>
        </is>
      </c>
    </row>
  </sheetData>
  <mergeCells count="6">
    <mergeCell ref="A12:D12"/>
    <mergeCell ref="A15:D15"/>
    <mergeCell ref="A2:G2"/>
    <mergeCell ref="A1:E1"/>
    <mergeCell ref="A13:D13"/>
    <mergeCell ref="A14:D14"/>
  </mergeCells>
  <conditionalFormatting sqref="D5:D9">
    <cfRule type="cellIs" priority="1" operator="equal" dxfId="0">
      <formula>"Pass"</formula>
    </cfRule>
    <cfRule type="cellIs" priority="2" operator="equal" dxfId="1">
      <formula>"Review Required"</formula>
    </cfRule>
    <cfRule type="cellIs" priority="3" operator="equal" dxfId="1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2026-09-06T21:09:19Z</dcterms:created>
  <dcterms:modified xsi:type="dcterms:W3CDTF">2026-09-06T21:09:19Z</dcterms:modified>
</cp:coreProperties>
</file>