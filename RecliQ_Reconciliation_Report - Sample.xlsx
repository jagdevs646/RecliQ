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Jagdevs INDEX\C\Cources\Udemy Courses\Python\Projects\Reconciliation Project\SaaS - version\"/>
    </mc:Choice>
  </mc:AlternateContent>
  <xr:revisionPtr revIDLastSave="0" documentId="8_{894A713A-9A8C-48CE-8825-ACD39614206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01 Executive Summary" sheetId="1" r:id="rId1"/>
    <sheet name="02 Exceptions" sheetId="2" r:id="rId2"/>
    <sheet name="03 Matched Records" sheetId="3" r:id="rId3"/>
    <sheet name="04 Missing - Books" sheetId="4" r:id="rId4"/>
    <sheet name="05 Missing - Portal" sheetId="5" r:id="rId5"/>
    <sheet name="06 Field Differences" sheetId="6" r:id="rId6"/>
    <sheet name="07 Control Checks" sheetId="7" r:id="rId7"/>
  </sheets>
  <definedNames>
    <definedName name="_xlnm._FilterDatabase" localSheetId="1" hidden="1">'02 Exceptions'!$A$4:$K$15</definedName>
    <definedName name="_xlnm._FilterDatabase" localSheetId="5" hidden="1">'06 Field Differences'!$A$4:$G$15</definedName>
    <definedName name="_xlnm.Print_Area" localSheetId="0">'01 Executive Summary'!$A$1:$N$44</definedName>
    <definedName name="_xlnm.Print_Area" localSheetId="1">'02 Exceptions'!$A$1:$K$15</definedName>
    <definedName name="_xlnm.Print_Area" localSheetId="2">'03 Matched Records'!$A$1:$G$546</definedName>
    <definedName name="_xlnm.Print_Area" localSheetId="3">'04 Missing - Books'!$A$1:$S$14</definedName>
    <definedName name="_xlnm.Print_Area" localSheetId="4">'05 Missing - Portal'!$A$1:$S$14</definedName>
    <definedName name="_xlnm.Print_Area" localSheetId="5">'06 Field Differences'!$A$1:$G$15</definedName>
    <definedName name="_xlnm.Print_Area" localSheetId="6">'07 Control Checks'!$A$1:$E$17</definedName>
    <definedName name="_xlnm.Print_Titles" localSheetId="1">'02 Exceptions'!$4:$4</definedName>
    <definedName name="_xlnm.Print_Titles" localSheetId="2">'03 Matched Records'!$4:$4</definedName>
    <definedName name="_xlnm.Print_Titles" localSheetId="3">'04 Missing - Books'!$4:$4</definedName>
    <definedName name="_xlnm.Print_Titles" localSheetId="4">'05 Missing - Portal'!$4:$4</definedName>
    <definedName name="_xlnm.Print_Titles" localSheetId="5">'06 Field Differences'!$4:$4</definedName>
    <definedName name="_xlnm.Print_Titles" localSheetId="6">'07 Control Checks'!$4:$4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7" l="1"/>
  <c r="D9" i="7" s="1"/>
  <c r="B8" i="7"/>
  <c r="D8" i="7" s="1"/>
  <c r="C6" i="7"/>
  <c r="B6" i="7"/>
  <c r="D6" i="7" s="1"/>
  <c r="C5" i="7"/>
  <c r="L15" i="2"/>
  <c r="L14" i="2"/>
  <c r="L13" i="2"/>
  <c r="L12" i="2"/>
  <c r="L11" i="2"/>
  <c r="L10" i="2"/>
  <c r="L9" i="2"/>
  <c r="L8" i="2"/>
  <c r="L7" i="2"/>
  <c r="L6" i="2"/>
  <c r="L5" i="2"/>
  <c r="B5" i="7" s="1"/>
  <c r="D5" i="7" s="1"/>
  <c r="B33" i="1"/>
  <c r="D28" i="1"/>
  <c r="C28" i="1"/>
  <c r="E28" i="1" s="1"/>
  <c r="D27" i="1"/>
  <c r="B34" i="1" s="1"/>
  <c r="D26" i="1"/>
  <c r="C26" i="1"/>
  <c r="E26" i="1" s="1"/>
  <c r="C22" i="1"/>
  <c r="D22" i="1" s="1"/>
  <c r="C21" i="1"/>
  <c r="D21" i="1" s="1"/>
  <c r="C20" i="1"/>
  <c r="D20" i="1" s="1"/>
  <c r="C19" i="1"/>
  <c r="D19" i="1" s="1"/>
  <c r="C14" i="1"/>
  <c r="C13" i="1"/>
  <c r="C11" i="1"/>
  <c r="L7" i="1"/>
  <c r="J7" i="1"/>
  <c r="H7" i="1"/>
  <c r="F7" i="1"/>
  <c r="B7" i="1"/>
  <c r="H6" i="1"/>
  <c r="H38" i="1" s="1"/>
  <c r="F6" i="1"/>
  <c r="E38" i="1" s="1"/>
  <c r="D6" i="1"/>
  <c r="C27" i="1" s="1"/>
  <c r="E27" i="1" s="1"/>
  <c r="C12" i="1" l="1"/>
  <c r="B7" i="7"/>
  <c r="D7" i="7" s="1"/>
  <c r="B6" i="1"/>
  <c r="B32" i="1"/>
  <c r="C7" i="7"/>
  <c r="L6" i="1" l="1"/>
  <c r="J6" i="1"/>
  <c r="B31" i="1" s="1"/>
  <c r="B38" i="1"/>
  <c r="D7" i="1"/>
  <c r="D12" i="1"/>
  <c r="D14" i="1"/>
  <c r="D13" i="1"/>
  <c r="C15" i="1"/>
  <c r="D11" i="1"/>
  <c r="D15" i="1" l="1"/>
</calcChain>
</file>

<file path=xl/sharedStrings.xml><?xml version="1.0" encoding="utf-8"?>
<sst xmlns="http://schemas.openxmlformats.org/spreadsheetml/2006/main" count="2498" uniqueCount="724">
  <si>
    <t>RECLIQ  |  RECONCILIATION EXECUTIVE SUMMARY</t>
  </si>
  <si>
    <t>Books.xlsx  vs.  portal.xlsx     •     Matching Key: EMP#     •     Report Generated: August 21, 2026</t>
  </si>
  <si>
    <t>KEY METRICS</t>
  </si>
  <si>
    <t>TOTAL RECORDS IN SCOPE</t>
  </si>
  <si>
    <t>MATCHED</t>
  </si>
  <si>
    <t>EXCEPTIONS</t>
  </si>
  <si>
    <t>MISSING</t>
  </si>
  <si>
    <t>MATCH RATE</t>
  </si>
  <si>
    <t>EXCEPTION RATE</t>
  </si>
  <si>
    <t>RECONCILIATION OUTCOME</t>
  </si>
  <si>
    <t>Category</t>
  </si>
  <si>
    <t>Count</t>
  </si>
  <si>
    <t>% of Total</t>
  </si>
  <si>
    <t>Matched</t>
  </si>
  <si>
    <t>Exceptions</t>
  </si>
  <si>
    <t>Missing — Books.xlsx</t>
  </si>
  <si>
    <t>Missing — portal.xlsx</t>
  </si>
  <si>
    <t>Total</t>
  </si>
  <si>
    <t>EXCEPTION BREAKDOWN BY TYPE</t>
  </si>
  <si>
    <t>Exception Type</t>
  </si>
  <si>
    <t>Value Difference</t>
  </si>
  <si>
    <t>Text Difference</t>
  </si>
  <si>
    <t>FIELD-LEVEL PERFORMANCE</t>
  </si>
  <si>
    <t>Field</t>
  </si>
  <si>
    <t>Mismatches</t>
  </si>
  <si>
    <t>Match Rate</t>
  </si>
  <si>
    <t>TOTAL ST</t>
  </si>
  <si>
    <t>EMPLOYEE - FIRST</t>
  </si>
  <si>
    <t>TOTAL OT</t>
  </si>
  <si>
    <t>KEY INSIGHTS</t>
  </si>
  <si>
    <t>CONTROL SUMMARY</t>
  </si>
  <si>
    <t>Total Records</t>
  </si>
  <si>
    <t>Outstanding Exceptions</t>
  </si>
  <si>
    <t>Missing Records</t>
  </si>
  <si>
    <t>Full Audit Trail</t>
  </si>
  <si>
    <t>See tab 07</t>
  </si>
  <si>
    <t>Full detail, formulas, and audit trail for every figure above are available on tabs 02–07 of this workbook.</t>
  </si>
  <si>
    <t>RecliQ Reconciliation Engine  •  Confidential — Internal Use Only</t>
  </si>
  <si>
    <t>Exception Log — Field-Level Mismatches</t>
  </si>
  <si>
    <t>Records present in both files where one or more compared fields did not match. One row per field-level mismatch; a record may appear more than once.</t>
  </si>
  <si>
    <t>Exception ID</t>
  </si>
  <si>
    <t>Match Key (EMP#)</t>
  </si>
  <si>
    <t>Books.xlsx Value</t>
  </si>
  <si>
    <t>portal.xlsx Value</t>
  </si>
  <si>
    <t>Difference</t>
  </si>
  <si>
    <t>Difference %</t>
  </si>
  <si>
    <t>Severity</t>
  </si>
  <si>
    <t>Status</t>
  </si>
  <si>
    <t>Action Notes</t>
  </si>
  <si>
    <t>Distinct Record</t>
  </si>
  <si>
    <t>EX-000001</t>
  </si>
  <si>
    <t>IGS0523</t>
  </si>
  <si>
    <t>Medium</t>
  </si>
  <si>
    <t>Open</t>
  </si>
  <si>
    <t>EX-000002</t>
  </si>
  <si>
    <t>IGS0259</t>
  </si>
  <si>
    <t>EX-000003</t>
  </si>
  <si>
    <t>IGS1291</t>
  </si>
  <si>
    <t>EX-000004</t>
  </si>
  <si>
    <t>IGS1324</t>
  </si>
  <si>
    <t>Deborah</t>
  </si>
  <si>
    <t>geller</t>
  </si>
  <si>
    <t>EX-000005</t>
  </si>
  <si>
    <t>IGS0042</t>
  </si>
  <si>
    <t>Abena A</t>
  </si>
  <si>
    <t>Tribiyani</t>
  </si>
  <si>
    <t>EX-000006</t>
  </si>
  <si>
    <t>IGS1033</t>
  </si>
  <si>
    <t>EX-000007</t>
  </si>
  <si>
    <t>IGS1064</t>
  </si>
  <si>
    <t>EX-000008</t>
  </si>
  <si>
    <t>IGS1247</t>
  </si>
  <si>
    <t>Verma</t>
  </si>
  <si>
    <t>Adrian</t>
  </si>
  <si>
    <t>EX-000009</t>
  </si>
  <si>
    <t>IGS1069</t>
  </si>
  <si>
    <t>Das</t>
  </si>
  <si>
    <t>Kishore</t>
  </si>
  <si>
    <t>Matched Records — Fully Reconciled</t>
  </si>
  <si>
    <t>Records found in both Books.xlsx and portal.xlsx with an identical EMP# key and no field-level differences.</t>
  </si>
  <si>
    <t>Books.xlsx Row</t>
  </si>
  <si>
    <t>portal.xlsx Row</t>
  </si>
  <si>
    <t>EMP# (Books.xlsx)</t>
  </si>
  <si>
    <t>EMP# (portal.xlsx)</t>
  </si>
  <si>
    <t>Match Type</t>
  </si>
  <si>
    <t>Match Confidence</t>
  </si>
  <si>
    <t>Match Status</t>
  </si>
  <si>
    <t>IGS1344</t>
  </si>
  <si>
    <t>numeric</t>
  </si>
  <si>
    <t>Exact numeric match</t>
  </si>
  <si>
    <t>IGS1238</t>
  </si>
  <si>
    <t>IGS0307</t>
  </si>
  <si>
    <t>IGS0597</t>
  </si>
  <si>
    <t>IGS0949</t>
  </si>
  <si>
    <t>IGS1201</t>
  </si>
  <si>
    <t>IGS0095</t>
  </si>
  <si>
    <t>IGS1200</t>
  </si>
  <si>
    <t>IGS1135</t>
  </si>
  <si>
    <t>IGS1349</t>
  </si>
  <si>
    <t>IGS0393</t>
  </si>
  <si>
    <t>IGS1153</t>
  </si>
  <si>
    <t>IGS0547</t>
  </si>
  <si>
    <t>IGS0885</t>
  </si>
  <si>
    <t>IGS0292</t>
  </si>
  <si>
    <t>IGS0370</t>
  </si>
  <si>
    <t>IGS0255</t>
  </si>
  <si>
    <t>IGS1389</t>
  </si>
  <si>
    <t>IGS1321</t>
  </si>
  <si>
    <t>IGS0891</t>
  </si>
  <si>
    <t>IGS1293</t>
  </si>
  <si>
    <t>IGS1346</t>
  </si>
  <si>
    <t>IGS1317</t>
  </si>
  <si>
    <t>IGS1226</t>
  </si>
  <si>
    <t>IGS0553</t>
  </si>
  <si>
    <t>IGS1298</t>
  </si>
  <si>
    <t>IGS0890</t>
  </si>
  <si>
    <t>IGS1020</t>
  </si>
  <si>
    <t>IGS0948</t>
  </si>
  <si>
    <t>IGS0469</t>
  </si>
  <si>
    <t>IGS1165</t>
  </si>
  <si>
    <t>IGS0071</t>
  </si>
  <si>
    <t>IGS1108</t>
  </si>
  <si>
    <t>IGS0748</t>
  </si>
  <si>
    <t>IGS1348</t>
  </si>
  <si>
    <t>IGS1231</t>
  </si>
  <si>
    <t>IGS1134</t>
  </si>
  <si>
    <t>IGS0096</t>
  </si>
  <si>
    <t>IGS1090</t>
  </si>
  <si>
    <t>IGS0494</t>
  </si>
  <si>
    <t>IGS0410</t>
  </si>
  <si>
    <t>IGS0409</t>
  </si>
  <si>
    <t>IGS0415</t>
  </si>
  <si>
    <t>IGS0538</t>
  </si>
  <si>
    <t>IGS1077</t>
  </si>
  <si>
    <t>IGS0493</t>
  </si>
  <si>
    <t>IGS1354</t>
  </si>
  <si>
    <t>IGS0707</t>
  </si>
  <si>
    <t>IGS1181</t>
  </si>
  <si>
    <t>IGS1334</t>
  </si>
  <si>
    <t>IGS0826</t>
  </si>
  <si>
    <t>IGS1112</t>
  </si>
  <si>
    <t>IGS1325</t>
  </si>
  <si>
    <t>IGS0710</t>
  </si>
  <si>
    <t>IGS1180</t>
  </si>
  <si>
    <t>IGS0966</t>
  </si>
  <si>
    <t>IGS1311</t>
  </si>
  <si>
    <t>IGS1179</t>
  </si>
  <si>
    <t>IGS1178</t>
  </si>
  <si>
    <t>IGS1081</t>
  </si>
  <si>
    <t>IGS0773</t>
  </si>
  <si>
    <t>IGS1177</t>
  </si>
  <si>
    <t>IGS1080</t>
  </si>
  <si>
    <t>IGS0709</t>
  </si>
  <si>
    <t>IGS0763</t>
  </si>
  <si>
    <t>IGS1275</t>
  </si>
  <si>
    <t>IGS1182</t>
  </si>
  <si>
    <t>IGS1176</t>
  </si>
  <si>
    <t>IGS0711</t>
  </si>
  <si>
    <t>IGS0853</t>
  </si>
  <si>
    <t>IGS0876</t>
  </si>
  <si>
    <t>IGS0713</t>
  </si>
  <si>
    <t>IGS1220</t>
  </si>
  <si>
    <t>IGS1313</t>
  </si>
  <si>
    <t>IGS0708</t>
  </si>
  <si>
    <t>IGS1146</t>
  </si>
  <si>
    <t>IGS1256</t>
  </si>
  <si>
    <t>IGS0366</t>
  </si>
  <si>
    <t>IGS1132</t>
  </si>
  <si>
    <t>IGS1049</t>
  </si>
  <si>
    <t>IGS1250</t>
  </si>
  <si>
    <t>IGS0308</t>
  </si>
  <si>
    <t>IGS1318</t>
  </si>
  <si>
    <t>IGS1170</t>
  </si>
  <si>
    <t>IGS1302</t>
  </si>
  <si>
    <t>IGS0786</t>
  </si>
  <si>
    <t>INFO74919</t>
  </si>
  <si>
    <t>INFO76381</t>
  </si>
  <si>
    <t>IGS0174</t>
  </si>
  <si>
    <t>IGS1000</t>
  </si>
  <si>
    <t>IGS1233</t>
  </si>
  <si>
    <t>IGS0526</t>
  </si>
  <si>
    <t>IGS0933</t>
  </si>
  <si>
    <t>IGS0848</t>
  </si>
  <si>
    <t>IGS0222</t>
  </si>
  <si>
    <t>IGS0768</t>
  </si>
  <si>
    <t>IGS0970</t>
  </si>
  <si>
    <t>INFO70255</t>
  </si>
  <si>
    <t>IGS0926</t>
  </si>
  <si>
    <t>IGS0962</t>
  </si>
  <si>
    <t>IGS1263</t>
  </si>
  <si>
    <t>IGS0857</t>
  </si>
  <si>
    <t>info70133</t>
  </si>
  <si>
    <t>IGS1268</t>
  </si>
  <si>
    <t>INFO18285</t>
  </si>
  <si>
    <t>IGS1254</t>
  </si>
  <si>
    <t>IGS0539</t>
  </si>
  <si>
    <t>IGS0560</t>
  </si>
  <si>
    <t>IGS1097</t>
  </si>
  <si>
    <t>IGS1194</t>
  </si>
  <si>
    <t>IGS1043</t>
  </si>
  <si>
    <t>IGS1216</t>
  </si>
  <si>
    <t>IGS1139</t>
  </si>
  <si>
    <t>IGS1076</t>
  </si>
  <si>
    <t>IGS1185</t>
  </si>
  <si>
    <t>IGS1372</t>
  </si>
  <si>
    <t>IGS1386</t>
  </si>
  <si>
    <t>IGS1172</t>
  </si>
  <si>
    <t>IGS1392</t>
  </si>
  <si>
    <t>IGS1283</t>
  </si>
  <si>
    <t>IGS0805</t>
  </si>
  <si>
    <t>IGS0880</t>
  </si>
  <si>
    <t>IGS1184</t>
  </si>
  <si>
    <t>IGS0390</t>
  </si>
  <si>
    <t>IGS0900</t>
  </si>
  <si>
    <t>IGS1023</t>
  </si>
  <si>
    <t>IGS0003</t>
  </si>
  <si>
    <t>IGS0325</t>
  </si>
  <si>
    <t>INFO45791</t>
  </si>
  <si>
    <t>IGS1366</t>
  </si>
  <si>
    <t>IGS0425</t>
  </si>
  <si>
    <t>Info21596</t>
  </si>
  <si>
    <t>IGS0775</t>
  </si>
  <si>
    <t>IGS1209</t>
  </si>
  <si>
    <t>IGS0270</t>
  </si>
  <si>
    <t>IGS0878</t>
  </si>
  <si>
    <t>IGS1395</t>
  </si>
  <si>
    <t>IGS0206</t>
  </si>
  <si>
    <t>IGS1289</t>
  </si>
  <si>
    <t>IGS0817</t>
  </si>
  <si>
    <t>IGS0236</t>
  </si>
  <si>
    <t>INFO66457</t>
  </si>
  <si>
    <t>info62371</t>
  </si>
  <si>
    <t>IGS1052</t>
  </si>
  <si>
    <t>IGS0442</t>
  </si>
  <si>
    <t>INFO92925</t>
  </si>
  <si>
    <t>IGS1276</t>
  </si>
  <si>
    <t>IGS1140</t>
  </si>
  <si>
    <t>IGS0584</t>
  </si>
  <si>
    <t>IGS1379</t>
  </si>
  <si>
    <t>INFO14271</t>
  </si>
  <si>
    <t>IGS0989</t>
  </si>
  <si>
    <t>IGS1270</t>
  </si>
  <si>
    <t>IGS0571</t>
  </si>
  <si>
    <t>INFO98028</t>
  </si>
  <si>
    <t>IGS1381</t>
  </si>
  <si>
    <t>IGS1163</t>
  </si>
  <si>
    <t>info60975</t>
  </si>
  <si>
    <t>IGS0750</t>
  </si>
  <si>
    <t>Info70458</t>
  </si>
  <si>
    <t>info04297</t>
  </si>
  <si>
    <t>IGS1175</t>
  </si>
  <si>
    <t>IGS1236</t>
  </si>
  <si>
    <t>IGS1099</t>
  </si>
  <si>
    <t>IGS0859</t>
  </si>
  <si>
    <t>IGS1017</t>
  </si>
  <si>
    <t>IGS0969</t>
  </si>
  <si>
    <t>IGS0231</t>
  </si>
  <si>
    <t>IGS1245</t>
  </si>
  <si>
    <t>IGS1095</t>
  </si>
  <si>
    <t>IGS0832</t>
  </si>
  <si>
    <t>IGS0941</t>
  </si>
  <si>
    <t>IGS0380</t>
  </si>
  <si>
    <t>IGS1030</t>
  </si>
  <si>
    <t>IGS1193</t>
  </si>
  <si>
    <t>IGS1327</t>
  </si>
  <si>
    <t>IGS0387</t>
  </si>
  <si>
    <t>IGS1287</t>
  </si>
  <si>
    <t>IGS0920</t>
  </si>
  <si>
    <t>IGS0207</t>
  </si>
  <si>
    <t>IGS1361</t>
  </si>
  <si>
    <t>IGS1191</t>
  </si>
  <si>
    <t>IGS1339</t>
  </si>
  <si>
    <t>IGS1038</t>
  </si>
  <si>
    <t>IGS1106</t>
  </si>
  <si>
    <t>IGS1228</t>
  </si>
  <si>
    <t>IGS1053</t>
  </si>
  <si>
    <t>IGS0452</t>
  </si>
  <si>
    <t>IGS1223</t>
  </si>
  <si>
    <t>IGS1286</t>
  </si>
  <si>
    <t>IGS1288</t>
  </si>
  <si>
    <t>Info74373</t>
  </si>
  <si>
    <t>IGS1353</t>
  </si>
  <si>
    <t>IGS1113</t>
  </si>
  <si>
    <t>IGS0991</t>
  </si>
  <si>
    <t>IGS0963</t>
  </si>
  <si>
    <t>IGS1376</t>
  </si>
  <si>
    <t>IGS1328</t>
  </si>
  <si>
    <t>IGS0487</t>
  </si>
  <si>
    <t>IGS1006</t>
  </si>
  <si>
    <t>IGS1190</t>
  </si>
  <si>
    <t>IGS1008</t>
  </si>
  <si>
    <t>IGS0064</t>
  </si>
  <si>
    <t>IGS1385</t>
  </si>
  <si>
    <t>IGS1299</t>
  </si>
  <si>
    <t>IGS0358</t>
  </si>
  <si>
    <t>IGS1297</t>
  </si>
  <si>
    <t>IGS1083</t>
  </si>
  <si>
    <t>IGS0872</t>
  </si>
  <si>
    <t>IGS1384</t>
  </si>
  <si>
    <t>IGS1061</t>
  </si>
  <si>
    <t>IGS0834</t>
  </si>
  <si>
    <t>IGS0637</t>
  </si>
  <si>
    <t>IGS1072</t>
  </si>
  <si>
    <t>IGS0779</t>
  </si>
  <si>
    <t>IGS1390</t>
  </si>
  <si>
    <t>IGS1326</t>
  </si>
  <si>
    <t>IGS1369</t>
  </si>
  <si>
    <t>IGS1312</t>
  </si>
  <si>
    <t>IGS1335</t>
  </si>
  <si>
    <t>IGS1307</t>
  </si>
  <si>
    <t>IGS1280</t>
  </si>
  <si>
    <t>IGS1211</t>
  </si>
  <si>
    <t>IGS0179</t>
  </si>
  <si>
    <t>IGS0754</t>
  </si>
  <si>
    <t>IGS0371</t>
  </si>
  <si>
    <t>IGS1241</t>
  </si>
  <si>
    <t>IGS0485</t>
  </si>
  <si>
    <t>IGS0983</t>
  </si>
  <si>
    <t>IGS1125</t>
  </si>
  <si>
    <t>IGS1371</t>
  </si>
  <si>
    <t>IGS1360</t>
  </si>
  <si>
    <t>IGS1217</t>
  </si>
  <si>
    <t>IGS1356</t>
  </si>
  <si>
    <t>IGS1123</t>
  </si>
  <si>
    <t>IGS0943</t>
  </si>
  <si>
    <t>IGS1122</t>
  </si>
  <si>
    <t>IGS0870</t>
  </si>
  <si>
    <t>IGS1162</t>
  </si>
  <si>
    <t>IGS1004</t>
  </si>
  <si>
    <t>IGS1025</t>
  </si>
  <si>
    <t>IGS1300</t>
  </si>
  <si>
    <t>IGS1196</t>
  </si>
  <si>
    <t>IGS1352</t>
  </si>
  <si>
    <t>IGS1305</t>
  </si>
  <si>
    <t>IGS1264</t>
  </si>
  <si>
    <t>IGS0976</t>
  </si>
  <si>
    <t>IGS0510</t>
  </si>
  <si>
    <t>IGS1212</t>
  </si>
  <si>
    <t>IGS1391</t>
  </si>
  <si>
    <t>IGS1060</t>
  </si>
  <si>
    <t>IGS1018</t>
  </si>
  <si>
    <t>IGS1032</t>
  </si>
  <si>
    <t>IGS0863</t>
  </si>
  <si>
    <t>IGS1160</t>
  </si>
  <si>
    <t>IGS1387</t>
  </si>
  <si>
    <t>IGS0660</t>
  </si>
  <si>
    <t>IGS1152</t>
  </si>
  <si>
    <t>IGS1333</t>
  </si>
  <si>
    <t>IGS1115</t>
  </si>
  <si>
    <t>IGS0997</t>
  </si>
  <si>
    <t>IGS1272</t>
  </si>
  <si>
    <t>IGS1197</t>
  </si>
  <si>
    <t>IGS0922</t>
  </si>
  <si>
    <t>IGS1131</t>
  </si>
  <si>
    <t>IGS1364</t>
  </si>
  <si>
    <t>IGS0932</t>
  </si>
  <si>
    <t>IGS1345</t>
  </si>
  <si>
    <t>IGS1343</t>
  </si>
  <si>
    <t>IGS0670</t>
  </si>
  <si>
    <t>IGS1089</t>
  </si>
  <si>
    <t>IGS1322</t>
  </si>
  <si>
    <t>IGS1249</t>
  </si>
  <si>
    <t>IGS1294</t>
  </si>
  <si>
    <t>IGS1273</t>
  </si>
  <si>
    <t>IGS1169</t>
  </si>
  <si>
    <t>IGS1219</t>
  </si>
  <si>
    <t>IGS0813</t>
  </si>
  <si>
    <t>IGS1222</t>
  </si>
  <si>
    <t>IGS0802</t>
  </si>
  <si>
    <t>IGS1130</t>
  </si>
  <si>
    <t>IGS0999</t>
  </si>
  <si>
    <t>IGS1136</t>
  </si>
  <si>
    <t>IGS1350</t>
  </si>
  <si>
    <t>IGS1368</t>
  </si>
  <si>
    <t>IGS1274</t>
  </si>
  <si>
    <t>IGS0815</t>
  </si>
  <si>
    <t>IGS1221</t>
  </si>
  <si>
    <t>IGS1066</t>
  </si>
  <si>
    <t>IGS1214</t>
  </si>
  <si>
    <t>IGS0423</t>
  </si>
  <si>
    <t>IGS0873</t>
  </si>
  <si>
    <t>Info40861</t>
  </si>
  <si>
    <t>IGS1085</t>
  </si>
  <si>
    <t>INFO37971</t>
  </si>
  <si>
    <t>IGS1117</t>
  </si>
  <si>
    <t>INFO77060</t>
  </si>
  <si>
    <t>IGS0927</t>
  </si>
  <si>
    <t>INFO22822</t>
  </si>
  <si>
    <t>Info88603</t>
  </si>
  <si>
    <t>IGS0808</t>
  </si>
  <si>
    <t>IGS1359</t>
  </si>
  <si>
    <t>IGS0454</t>
  </si>
  <si>
    <t>IGS0610</t>
  </si>
  <si>
    <t>Info4821</t>
  </si>
  <si>
    <t>IGS0618</t>
  </si>
  <si>
    <t>IGS0690</t>
  </si>
  <si>
    <t>IGS0573</t>
  </si>
  <si>
    <t>IGS0634</t>
  </si>
  <si>
    <t>INFO21112</t>
  </si>
  <si>
    <t>IGS0715</t>
  </si>
  <si>
    <t>IGS1129</t>
  </si>
  <si>
    <t>IGS0745</t>
  </si>
  <si>
    <t>INFO47836</t>
  </si>
  <si>
    <t>IGS1237</t>
  </si>
  <si>
    <t>IGS0789</t>
  </si>
  <si>
    <t>IGS0954</t>
  </si>
  <si>
    <t>IGS0841</t>
  </si>
  <si>
    <t>IGS0691</t>
  </si>
  <si>
    <t>IGS0285</t>
  </si>
  <si>
    <t>IGS1161</t>
  </si>
  <si>
    <t>IGS0766</t>
  </si>
  <si>
    <t>IGS0767</t>
  </si>
  <si>
    <t>IGS1319</t>
  </si>
  <si>
    <t>IGS0694</t>
  </si>
  <si>
    <t>INFO78321</t>
  </si>
  <si>
    <t>info08084</t>
  </si>
  <si>
    <t>IGS1188</t>
  </si>
  <si>
    <t>INFO88858</t>
  </si>
  <si>
    <t>info67933</t>
  </si>
  <si>
    <t>IGS1378</t>
  </si>
  <si>
    <t>IGS1149</t>
  </si>
  <si>
    <t>IGS1014</t>
  </si>
  <si>
    <t>IGS0564</t>
  </si>
  <si>
    <t>IGS1082</t>
  </si>
  <si>
    <t>IGS1363</t>
  </si>
  <si>
    <t>INFO60045</t>
  </si>
  <si>
    <t>IGS0918</t>
  </si>
  <si>
    <t>IGS0939</t>
  </si>
  <si>
    <t>IGS0919</t>
  </si>
  <si>
    <t>IGS1148</t>
  </si>
  <si>
    <t>IGS0897</t>
  </si>
  <si>
    <t>INFO15076</t>
  </si>
  <si>
    <t>IGS0984</t>
  </si>
  <si>
    <t>IGS1278</t>
  </si>
  <si>
    <t>IGS0874</t>
  </si>
  <si>
    <t>IGS0272</t>
  </si>
  <si>
    <t>IGS0301</t>
  </si>
  <si>
    <t>INFO28038</t>
  </si>
  <si>
    <t>IGS0611</t>
  </si>
  <si>
    <t>IGS0828</t>
  </si>
  <si>
    <t>IGS1355</t>
  </si>
  <si>
    <t>IGS1041</t>
  </si>
  <si>
    <t>IGS0905</t>
  </si>
  <si>
    <t>IGS0842</t>
  </si>
  <si>
    <t>IGS1138</t>
  </si>
  <si>
    <t>IGS1137</t>
  </si>
  <si>
    <t>IGS1007</t>
  </si>
  <si>
    <t>IGS0994</t>
  </si>
  <si>
    <t>IGS0840</t>
  </si>
  <si>
    <t>IGS1087</t>
  </si>
  <si>
    <t>IGS1128</t>
  </si>
  <si>
    <t>IGS1116</t>
  </si>
  <si>
    <t>IGS1027</t>
  </si>
  <si>
    <t>IGS1051</t>
  </si>
  <si>
    <t>IGS1195</t>
  </si>
  <si>
    <t>IGS0928</t>
  </si>
  <si>
    <t>IGS0744</t>
  </si>
  <si>
    <t>IGS1284</t>
  </si>
  <si>
    <t>IGS1114</t>
  </si>
  <si>
    <t>IGS1243</t>
  </si>
  <si>
    <t>IGS1208</t>
  </si>
  <si>
    <t>INFO46917</t>
  </si>
  <si>
    <t>INFO26931</t>
  </si>
  <si>
    <t>IGS1105</t>
  </si>
  <si>
    <t>IGS0849</t>
  </si>
  <si>
    <t>IGS1282</t>
  </si>
  <si>
    <t>IGS0601</t>
  </si>
  <si>
    <t>IGS1143</t>
  </si>
  <si>
    <t>IGS0835</t>
  </si>
  <si>
    <t>IGS0686</t>
  </si>
  <si>
    <t>IGS0583</t>
  </si>
  <si>
    <t>IGS0980</t>
  </si>
  <si>
    <t>IGS1277</t>
  </si>
  <si>
    <t>IGS1111</t>
  </si>
  <si>
    <t>IGS0687</t>
  </si>
  <si>
    <t>IGS0937</t>
  </si>
  <si>
    <t>IGS1218</t>
  </si>
  <si>
    <t>IGS0010</t>
  </si>
  <si>
    <t>IGS1088</t>
  </si>
  <si>
    <t>INFO66581</t>
  </si>
  <si>
    <t>IGS1202</t>
  </si>
  <si>
    <t>IGS1358</t>
  </si>
  <si>
    <t>IGS1316</t>
  </si>
  <si>
    <t>IGS1396</t>
  </si>
  <si>
    <t>IGS1340</t>
  </si>
  <si>
    <t>IGS1156</t>
  </si>
  <si>
    <t>IGS1295</t>
  </si>
  <si>
    <t>IGS1199</t>
  </si>
  <si>
    <t>IGS0845</t>
  </si>
  <si>
    <t>IGS1092</t>
  </si>
  <si>
    <t>IGS0617</t>
  </si>
  <si>
    <t>IGS1347</t>
  </si>
  <si>
    <t>IGS1101</t>
  </si>
  <si>
    <t>IGS1063</t>
  </si>
  <si>
    <t>IGS0764</t>
  </si>
  <si>
    <t>IGS1341</t>
  </si>
  <si>
    <t>IGS0622</t>
  </si>
  <si>
    <t>IGS1198</t>
  </si>
  <si>
    <t>IGS1155</t>
  </si>
  <si>
    <t>IGS1342</t>
  </si>
  <si>
    <t>IGS1258</t>
  </si>
  <si>
    <t>IGS1290</t>
  </si>
  <si>
    <t>IGS0097</t>
  </si>
  <si>
    <t>IGS1103</t>
  </si>
  <si>
    <t>IGS1314</t>
  </si>
  <si>
    <t>IGS1104</t>
  </si>
  <si>
    <t>IGS0987</t>
  </si>
  <si>
    <t>IGS0883</t>
  </si>
  <si>
    <t>IGS0793</t>
  </si>
  <si>
    <t>IGS0488</t>
  </si>
  <si>
    <t>IGS1227</t>
  </si>
  <si>
    <t>INFO28406</t>
  </si>
  <si>
    <t>IGS1171</t>
  </si>
  <si>
    <t>IGS0606</t>
  </si>
  <si>
    <t>IGS1393</t>
  </si>
  <si>
    <t>INFO17858</t>
  </si>
  <si>
    <t>Info10624</t>
  </si>
  <si>
    <t>IGS0090</t>
  </si>
  <si>
    <t>IGS0795</t>
  </si>
  <si>
    <t>IGS1285</t>
  </si>
  <si>
    <t>Info51464</t>
  </si>
  <si>
    <t>IGS0967</t>
  </si>
  <si>
    <t>IGS1367</t>
  </si>
  <si>
    <t>IGS0647</t>
  </si>
  <si>
    <t>Info72319</t>
  </si>
  <si>
    <t>IGS1186</t>
  </si>
  <si>
    <t>IGS1210</t>
  </si>
  <si>
    <t>IGS0852</t>
  </si>
  <si>
    <t>IGS1110</t>
  </si>
  <si>
    <t>IGS0688</t>
  </si>
  <si>
    <t>IGS1098</t>
  </si>
  <si>
    <t>IGS1370</t>
  </si>
  <si>
    <t>IGS0342</t>
  </si>
  <si>
    <t>IGS0220</t>
  </si>
  <si>
    <t>IGS1215</t>
  </si>
  <si>
    <t>IGS1240</t>
  </si>
  <si>
    <t>IGS0197</t>
  </si>
  <si>
    <t>IGS1309</t>
  </si>
  <si>
    <t>IGS0337</t>
  </si>
  <si>
    <t>IGS0777</t>
  </si>
  <si>
    <t>IGS0993</t>
  </si>
  <si>
    <t>IGS1398</t>
  </si>
  <si>
    <t>IGS1281</t>
  </si>
  <si>
    <t>IGS0630</t>
  </si>
  <si>
    <t>IGS0792</t>
  </si>
  <si>
    <t>IGS1315</t>
  </si>
  <si>
    <t>IGS1047</t>
  </si>
  <si>
    <t>IGS1336</t>
  </si>
  <si>
    <t>IGS1192</t>
  </si>
  <si>
    <t>IGS1252</t>
  </si>
  <si>
    <t>IGS1394</t>
  </si>
  <si>
    <t>IGS0199</t>
  </si>
  <si>
    <t>IGS1141</t>
  </si>
  <si>
    <t>IGS0015</t>
  </si>
  <si>
    <t>IGS0008</t>
  </si>
  <si>
    <t>info97245</t>
  </si>
  <si>
    <t>IGS0153</t>
  </si>
  <si>
    <t>IGS1037</t>
  </si>
  <si>
    <t>IGS0868</t>
  </si>
  <si>
    <t>IGS0819</t>
  </si>
  <si>
    <t>IGS1224</t>
  </si>
  <si>
    <t>IGS0923</t>
  </si>
  <si>
    <t>IGS1375</t>
  </si>
  <si>
    <t>INFO13363</t>
  </si>
  <si>
    <t>IGS0936</t>
  </si>
  <si>
    <t>IGS1374</t>
  </si>
  <si>
    <t>IGS0440</t>
  </si>
  <si>
    <t>IGS1373</t>
  </si>
  <si>
    <t>IGS1109</t>
  </si>
  <si>
    <t>IGS1338</t>
  </si>
  <si>
    <t>IGS1362</t>
  </si>
  <si>
    <t>IGS1301</t>
  </si>
  <si>
    <t>IGS0998</t>
  </si>
  <si>
    <t>IGS0892</t>
  </si>
  <si>
    <t>IGS0083</t>
  </si>
  <si>
    <t>IGS0697</t>
  </si>
  <si>
    <t>INFO41034</t>
  </si>
  <si>
    <t>IGS0624</t>
  </si>
  <si>
    <t>IGS0940</t>
  </si>
  <si>
    <t>IGS1262</t>
  </si>
  <si>
    <t>IGS1265</t>
  </si>
  <si>
    <t>IGS0549</t>
  </si>
  <si>
    <t>IGS0548</t>
  </si>
  <si>
    <t>IGS0586</t>
  </si>
  <si>
    <t>IGS0623</t>
  </si>
  <si>
    <t>IGS0060</t>
  </si>
  <si>
    <t>IGS0784</t>
  </si>
  <si>
    <t>IGS0166</t>
  </si>
  <si>
    <t>IGS0979</t>
  </si>
  <si>
    <t>IGS1071</t>
  </si>
  <si>
    <t>IGS1320</t>
  </si>
  <si>
    <t>INFO12345</t>
  </si>
  <si>
    <t>IGS1365</t>
  </si>
  <si>
    <t>IGS1271</t>
  </si>
  <si>
    <t>IGS1337</t>
  </si>
  <si>
    <t>IGS1234</t>
  </si>
  <si>
    <t>IGS1232</t>
  </si>
  <si>
    <t>IGS1235</t>
  </si>
  <si>
    <t>IGS1388</t>
  </si>
  <si>
    <t>IGS1204</t>
  </si>
  <si>
    <t>IGS1205</t>
  </si>
  <si>
    <t>IGS1207</t>
  </si>
  <si>
    <t>IGS1230</t>
  </si>
  <si>
    <t>IGS1242</t>
  </si>
  <si>
    <t>IGS1267</t>
  </si>
  <si>
    <t>IGS1303</t>
  </si>
  <si>
    <t>IGS1296</t>
  </si>
  <si>
    <t>IGS1397</t>
  </si>
  <si>
    <t>IGS1332</t>
  </si>
  <si>
    <t>IGS1377</t>
  </si>
  <si>
    <t>IGS0277</t>
  </si>
  <si>
    <t>IGS1383</t>
  </si>
  <si>
    <t>IGS0856</t>
  </si>
  <si>
    <t>IGS0728</t>
  </si>
  <si>
    <t>IGS1304</t>
  </si>
  <si>
    <t>IGS1323</t>
  </si>
  <si>
    <t>IGS1167</t>
  </si>
  <si>
    <t>IGS1154</t>
  </si>
  <si>
    <t xml:space="preserve">IGS1351 </t>
  </si>
  <si>
    <t>IGS1259</t>
  </si>
  <si>
    <t>IGS0864</t>
  </si>
  <si>
    <t>IGS1119</t>
  </si>
  <si>
    <t>IGS1166</t>
  </si>
  <si>
    <t>IGS1054</t>
  </si>
  <si>
    <t>INFO87136</t>
  </si>
  <si>
    <t>IGS0915</t>
  </si>
  <si>
    <t>IGS1094</t>
  </si>
  <si>
    <t>IGS1248</t>
  </si>
  <si>
    <t>IGS0929</t>
  </si>
  <si>
    <t>IGS1189</t>
  </si>
  <si>
    <t>IGS0908</t>
  </si>
  <si>
    <t>Missing from Books.xlsx (File 1)</t>
  </si>
  <si>
    <t>Records present in portal.xlsx but with no matching EMP# found in Books.xlsx.</t>
  </si>
  <si>
    <t>EMP#</t>
  </si>
  <si>
    <t>Client</t>
  </si>
  <si>
    <t>Employee - Last</t>
  </si>
  <si>
    <t>Employee - First</t>
  </si>
  <si>
    <t>Total ST</t>
  </si>
  <si>
    <t>Total OT</t>
  </si>
  <si>
    <t>Total Rate 2 OT</t>
  </si>
  <si>
    <t>Per Diem/Benf. Offset</t>
  </si>
  <si>
    <t>Per Diem Rate</t>
  </si>
  <si>
    <t>Expenses</t>
  </si>
  <si>
    <t>Holiday</t>
  </si>
  <si>
    <t>Misc. Earnings</t>
  </si>
  <si>
    <t>Vacation</t>
  </si>
  <si>
    <t>Sick</t>
  </si>
  <si>
    <t>Retro Pay</t>
  </si>
  <si>
    <t>Retro ST</t>
  </si>
  <si>
    <t>Retro OT</t>
  </si>
  <si>
    <t>Bonus</t>
  </si>
  <si>
    <t>IGS09091</t>
  </si>
  <si>
    <t>Facebook</t>
  </si>
  <si>
    <t>Saransh</t>
  </si>
  <si>
    <t>Khajuria</t>
  </si>
  <si>
    <t>IGS09102</t>
  </si>
  <si>
    <t xml:space="preserve">Muskan </t>
  </si>
  <si>
    <t>Jain</t>
  </si>
  <si>
    <t>IGS09113</t>
  </si>
  <si>
    <t xml:space="preserve">Jagdev </t>
  </si>
  <si>
    <t>Rainu</t>
  </si>
  <si>
    <t>IGS09124</t>
  </si>
  <si>
    <t>Moksh</t>
  </si>
  <si>
    <t>varma</t>
  </si>
  <si>
    <t>IGS09135</t>
  </si>
  <si>
    <t xml:space="preserve">Ajay </t>
  </si>
  <si>
    <t>IGS09146</t>
  </si>
  <si>
    <t>Satyendra</t>
  </si>
  <si>
    <t>Singh</t>
  </si>
  <si>
    <t>IGS09157</t>
  </si>
  <si>
    <t>paresh</t>
  </si>
  <si>
    <t>IGS09168</t>
  </si>
  <si>
    <t>Joe</t>
  </si>
  <si>
    <t>trbiyani</t>
  </si>
  <si>
    <t>IGS09179</t>
  </si>
  <si>
    <t>ross</t>
  </si>
  <si>
    <t>IGS091799</t>
  </si>
  <si>
    <t>shivam</t>
  </si>
  <si>
    <t>verma</t>
  </si>
  <si>
    <t>Missing from portal.xlsx (File 2)</t>
  </si>
  <si>
    <t>Records present in Books.xlsx but with no matching EMP# found in portal.xlsx.</t>
  </si>
  <si>
    <t>IGS090945</t>
  </si>
  <si>
    <t>Google</t>
  </si>
  <si>
    <t>Jagdev</t>
  </si>
  <si>
    <t>IGS091054</t>
  </si>
  <si>
    <t>Aman</t>
  </si>
  <si>
    <t>Sharma</t>
  </si>
  <si>
    <t>IGS091146</t>
  </si>
  <si>
    <t>muskan</t>
  </si>
  <si>
    <t>Gupta</t>
  </si>
  <si>
    <t>IGS09127</t>
  </si>
  <si>
    <t>Dhananjay</t>
  </si>
  <si>
    <t>IGS09139</t>
  </si>
  <si>
    <t>Apurav</t>
  </si>
  <si>
    <t>IGS09147</t>
  </si>
  <si>
    <t>Shivam</t>
  </si>
  <si>
    <t>IGS091564</t>
  </si>
  <si>
    <t>Dhwani</t>
  </si>
  <si>
    <t>IGS091664</t>
  </si>
  <si>
    <t>Vinny</t>
  </si>
  <si>
    <t>Tagotra</t>
  </si>
  <si>
    <t>IGS091732</t>
  </si>
  <si>
    <t>Paresh</t>
  </si>
  <si>
    <t>IGS091832</t>
  </si>
  <si>
    <t>Field Differences — Raw Comparison Detail</t>
  </si>
  <si>
    <t>Underlying field-by-field comparison for every matched EMP# where at least one value differed.</t>
  </si>
  <si>
    <t>Result</t>
  </si>
  <si>
    <t>Mismatch</t>
  </si>
  <si>
    <t>Control Checks — Reconciliation Audit Trail</t>
  </si>
  <si>
    <t>All figures are calculated directly from the detail tabs, so this panel always reflects current data.</t>
  </si>
  <si>
    <t>Control</t>
  </si>
  <si>
    <t>Books.xlsx (File 1)</t>
  </si>
  <si>
    <t>portal.xlsx (File 2)</t>
  </si>
  <si>
    <t>Total records in scope</t>
  </si>
  <si>
    <t>Matched records (no differences)</t>
  </si>
  <si>
    <t>Exception records (1+ field mismatch)</t>
  </si>
  <si>
    <t>Records missing from Books.xlsx</t>
  </si>
  <si>
    <t>—</t>
  </si>
  <si>
    <t>Records missing from portal.xlsx</t>
  </si>
  <si>
    <t>Methodology</t>
  </si>
  <si>
    <t>• Matching key: EMP# (case-insensitive, numeric-normalized).</t>
  </si>
  <si>
    <t>• 'Total records in scope' = Matched + Exception + records missing from the opposite file.</t>
  </si>
  <si>
    <t>• An 'Exception record' has 1 or more field-level mismatches — see tab '02 Exceptions' for detail.</t>
  </si>
  <si>
    <t>• Source files: Books.xlsx (internal payroll ledger) vs portal.xlsx (client/vendor portal export).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</si>
</sst>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0"/>
  </numFmts>
  <fonts count="18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12"/>
      <color rgb="FF1F3864"/>
      <name val="Arial"/>
      <charset val="1"/>
    </font>
    <font>
      <b/>
      <sz val="8"/>
      <color rgb="FF595959"/>
      <name val="Arial"/>
      <charset val="1"/>
    </font>
    <font>
      <b/>
      <sz val="20"/>
      <color rgb="FF1F3864"/>
      <name val="Arial"/>
      <charset val="1"/>
    </font>
    <font>
      <b/>
      <sz val="20"/>
      <color rgb="FF1E7B34"/>
      <name val="Arial"/>
      <charset val="1"/>
    </font>
    <font>
      <b/>
      <sz val="20"/>
      <color rgb="FFB36A00"/>
      <name val="Arial"/>
      <charset val="1"/>
    </font>
    <font>
      <b/>
      <sz val="20"/>
      <color rgb="FFA6192E"/>
      <name val="Arial"/>
      <charset val="1"/>
    </font>
    <font>
      <i/>
      <sz val="8"/>
      <color rgb="FF595959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9.5"/>
      <color rgb="FF000000"/>
      <name val="Arial"/>
      <charset val="1"/>
    </font>
    <font>
      <b/>
      <sz val="13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1F3864"/>
      <name val="Arial"/>
      <charset val="1"/>
    </font>
    <font>
      <sz val="9"/>
      <color rgb="FF59595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E2F0D9"/>
      </patternFill>
    </fill>
  </fills>
  <borders count="9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double">
        <color rgb="FF1F3864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3" fontId="14" fillId="4" borderId="7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3" fontId="8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0" borderId="1" xfId="0" applyFont="1" applyBorder="1"/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0" fillId="2" borderId="4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/>
    </xf>
    <xf numFmtId="3" fontId="11" fillId="0" borderId="3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0" fontId="11" fillId="4" borderId="3" xfId="0" applyFont="1" applyFill="1" applyBorder="1" applyAlignment="1">
      <alignment horizontal="left" vertical="center"/>
    </xf>
    <xf numFmtId="3" fontId="11" fillId="4" borderId="3" xfId="0" applyNumberFormat="1" applyFont="1" applyFill="1" applyBorder="1" applyAlignment="1">
      <alignment horizontal="center" vertical="center"/>
    </xf>
    <xf numFmtId="164" fontId="11" fillId="4" borderId="3" xfId="0" applyNumberFormat="1" applyFont="1" applyFill="1" applyBorder="1" applyAlignment="1">
      <alignment horizontal="center" vertical="center"/>
    </xf>
    <xf numFmtId="0" fontId="12" fillId="0" borderId="5" xfId="0" applyFont="1" applyBorder="1"/>
    <xf numFmtId="3" fontId="12" fillId="0" borderId="5" xfId="0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0" fontId="11" fillId="0" borderId="4" xfId="0" applyFont="1" applyBorder="1"/>
    <xf numFmtId="3" fontId="11" fillId="0" borderId="4" xfId="0" applyNumberFormat="1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0" fontId="11" fillId="4" borderId="4" xfId="0" applyFont="1" applyFill="1" applyBorder="1"/>
    <xf numFmtId="3" fontId="11" fillId="4" borderId="4" xfId="0" applyNumberFormat="1" applyFont="1" applyFill="1" applyBorder="1" applyAlignment="1">
      <alignment horizontal="center" vertical="center"/>
    </xf>
    <xf numFmtId="164" fontId="11" fillId="4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4" fontId="11" fillId="0" borderId="4" xfId="0" applyNumberFormat="1" applyFont="1" applyBorder="1" applyAlignment="1">
      <alignment horizontal="right" vertical="center"/>
    </xf>
    <xf numFmtId="164" fontId="11" fillId="0" borderId="4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right" vertical="center"/>
    </xf>
    <xf numFmtId="0" fontId="11" fillId="4" borderId="4" xfId="0" applyFont="1" applyFill="1" applyBorder="1" applyAlignment="1">
      <alignment horizontal="left" vertical="center"/>
    </xf>
    <xf numFmtId="4" fontId="11" fillId="4" borderId="4" xfId="0" applyNumberFormat="1" applyFont="1" applyFill="1" applyBorder="1" applyAlignment="1">
      <alignment horizontal="right" vertical="center"/>
    </xf>
    <xf numFmtId="164" fontId="11" fillId="4" borderId="4" xfId="0" applyNumberFormat="1" applyFont="1" applyFill="1" applyBorder="1" applyAlignment="1">
      <alignment horizontal="right" vertical="center"/>
    </xf>
    <xf numFmtId="0" fontId="11" fillId="4" borderId="4" xfId="0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9" fontId="11" fillId="0" borderId="0" xfId="0" applyNumberFormat="1" applyFont="1" applyAlignment="1">
      <alignment horizontal="center" vertical="center"/>
    </xf>
    <xf numFmtId="165" fontId="11" fillId="0" borderId="4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6" fillId="0" borderId="0" xfId="0" applyFont="1"/>
    <xf numFmtId="0" fontId="14" fillId="4" borderId="7" xfId="0" applyFont="1" applyFill="1" applyBorder="1" applyAlignment="1">
      <alignment horizontal="center" vertical="center"/>
    </xf>
    <xf numFmtId="0" fontId="9" fillId="0" borderId="0" xfId="0" applyFont="1"/>
    <xf numFmtId="0" fontId="9" fillId="0" borderId="8" xfId="0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7" fillId="0" borderId="0" xfId="0" applyFont="1"/>
  </cellXfs>
  <cellStyles count="1">
    <cellStyle name="Normal" xfId="0" builtinId="0"/>
  </cellStyles>
  <dxfs count="9">
    <dxf>
      <font>
        <b/>
        <sz val="9"/>
        <color rgb="FFB36A00"/>
        <name val="Arial"/>
        <charset val="1"/>
      </font>
      <fill>
        <patternFill>
          <bgColor rgb="FFFCE4D6"/>
        </patternFill>
      </fill>
    </dxf>
    <dxf>
      <font>
        <b/>
        <sz val="9"/>
        <color rgb="FFB36A00"/>
        <name val="Arial"/>
        <charset val="1"/>
      </font>
      <fill>
        <patternFill>
          <bgColor rgb="FFFCE4D6"/>
        </patternFill>
      </fill>
    </dxf>
    <dxf>
      <font>
        <b/>
        <sz val="9"/>
        <color rgb="FF1E7B34"/>
        <name val="Arial"/>
        <charset val="1"/>
      </font>
      <fill>
        <patternFill>
          <bgColor rgb="FFE2F0D9"/>
        </patternFill>
      </fill>
    </dxf>
    <dxf>
      <font>
        <b/>
        <sz val="9"/>
        <color rgb="FFA6192E"/>
        <name val="Arial"/>
        <charset val="1"/>
      </font>
      <fill>
        <patternFill>
          <bgColor rgb="FFFADBD8"/>
        </patternFill>
      </fill>
    </dxf>
    <dxf>
      <font>
        <b/>
        <sz val="9"/>
        <color rgb="FF1E7B34"/>
        <name val="Arial"/>
        <charset val="1"/>
      </font>
      <fill>
        <patternFill>
          <bgColor rgb="FFE2F0D9"/>
        </patternFill>
      </fill>
    </dxf>
    <dxf>
      <font>
        <b/>
        <sz val="9"/>
        <color rgb="FFB36A00"/>
        <name val="Arial"/>
        <charset val="1"/>
      </font>
      <fill>
        <patternFill>
          <bgColor rgb="FFFCE4D6"/>
        </patternFill>
      </fill>
    </dxf>
    <dxf>
      <font>
        <b/>
        <sz val="9"/>
        <color rgb="FF1E7B34"/>
        <name val="Arial"/>
        <charset val="1"/>
      </font>
      <fill>
        <patternFill>
          <bgColor rgb="FFE2F0D9"/>
        </patternFill>
      </fill>
    </dxf>
    <dxf>
      <font>
        <b/>
        <sz val="9"/>
        <color rgb="FFB36A00"/>
        <name val="Arial"/>
        <charset val="1"/>
      </font>
      <fill>
        <patternFill>
          <bgColor rgb="FFFCE4D6"/>
        </patternFill>
      </fill>
    </dxf>
    <dxf>
      <font>
        <b/>
        <sz val="9"/>
        <color rgb="FFA6192E"/>
        <name val="Arial"/>
        <charset val="1"/>
      </font>
      <fill>
        <patternFill>
          <bgColor rgb="FFFADBD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0C1E"/>
      <rgbColor rgb="FF1E7B34"/>
      <rgbColor rgb="FF000080"/>
      <rgbColor rgb="FFB36A00"/>
      <rgbColor rgb="FF800080"/>
      <rgbColor rgb="FF008080"/>
      <rgbColor rgb="FFC0C0C0"/>
      <rgbColor rgb="FF878787"/>
      <rgbColor rgb="FF9999FF"/>
      <rgbColor rgb="FFA6192E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4D6"/>
      <rgbColor rgb="FF99CCFF"/>
      <rgbColor rgb="FFFF99CC"/>
      <rgbColor rgb="FFCC99FF"/>
      <rgbColor rgb="FFFADBD8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C0392B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Reconciliation Outcome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E7B3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C6E-401E-A3F7-4D33BD52658C}"/>
              </c:ext>
            </c:extLst>
          </c:dPt>
          <c:dPt>
            <c:idx val="1"/>
            <c:bubble3D val="0"/>
            <c:spPr>
              <a:solidFill>
                <a:srgbClr val="B36A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C6E-401E-A3F7-4D33BD52658C}"/>
              </c:ext>
            </c:extLst>
          </c:dPt>
          <c:dPt>
            <c:idx val="2"/>
            <c:bubble3D val="0"/>
            <c:spPr>
              <a:solidFill>
                <a:srgbClr val="A619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C6E-401E-A3F7-4D33BD52658C}"/>
              </c:ext>
            </c:extLst>
          </c:dPt>
          <c:dPt>
            <c:idx val="3"/>
            <c:bubble3D val="0"/>
            <c:spPr>
              <a:solidFill>
                <a:srgbClr val="7A0C1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C6E-401E-A3F7-4D33BD52658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C6E-401E-A3F7-4D33BD52658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C6E-401E-A3F7-4D33BD52658C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C6E-401E-A3F7-4D33BD52658C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C6E-401E-A3F7-4D33BD526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'01 Executive Summary'!$B$11:$B$14</c:f>
              <c:strCache>
                <c:ptCount val="4"/>
                <c:pt idx="0">
                  <c:v>Matched</c:v>
                </c:pt>
                <c:pt idx="1">
                  <c:v>Exceptions</c:v>
                </c:pt>
                <c:pt idx="2">
                  <c:v>Missing — Books.xlsx</c:v>
                </c:pt>
                <c:pt idx="3">
                  <c:v>Missing — portal.xlsx</c:v>
                </c:pt>
              </c:strCache>
            </c:strRef>
          </c:cat>
          <c:val>
            <c:numRef>
              <c:f>'01 Executive Summary'!$C$11:$C$14</c:f>
              <c:numCache>
                <c:formatCode>#,##0</c:formatCode>
                <c:ptCount val="4"/>
                <c:pt idx="0">
                  <c:v>542</c:v>
                </c:pt>
                <c:pt idx="1">
                  <c:v>9</c:v>
                </c:pt>
                <c:pt idx="2">
                  <c:v>10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6E-401E-A3F7-4D33BD526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Field-Level Mismatches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'01 Executive Summary'!$D$25</c:f>
              <c:strCache>
                <c:ptCount val="1"/>
                <c:pt idx="0">
                  <c:v>Mismatches</c:v>
                </c:pt>
              </c:strCache>
            </c:strRef>
          </c:tx>
          <c:spPr>
            <a:solidFill>
              <a:srgbClr val="B36A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Executive Summary'!$B$26:$B$28</c:f>
              <c:strCache>
                <c:ptCount val="3"/>
                <c:pt idx="0">
                  <c:v>TOTAL ST</c:v>
                </c:pt>
                <c:pt idx="1">
                  <c:v>EMPLOYEE - FIRST</c:v>
                </c:pt>
                <c:pt idx="2">
                  <c:v>TOTAL OT</c:v>
                </c:pt>
              </c:strCache>
            </c:strRef>
          </c:cat>
          <c:val>
            <c:numRef>
              <c:f>'01 Executive Summary'!$D$26:$D$28</c:f>
              <c:numCache>
                <c:formatCode>#,##0</c:formatCode>
                <c:ptCount val="3"/>
                <c:pt idx="0">
                  <c:v>6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4-4648-ADF6-048FA04EA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370573"/>
        <c:axId val="51432979"/>
      </c:barChart>
      <c:catAx>
        <c:axId val="383705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432979"/>
        <c:crosses val="autoZero"/>
        <c:auto val="1"/>
        <c:lblAlgn val="ctr"/>
        <c:lblOffset val="100"/>
        <c:noMultiLvlLbl val="0"/>
      </c:catAx>
      <c:valAx>
        <c:axId val="514329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Mismatches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3705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336695</xdr:colOff>
      <xdr:row>7</xdr:row>
      <xdr:rowOff>130482</xdr:rowOff>
    </xdr:from>
    <xdr:to>
      <xdr:col>11</xdr:col>
      <xdr:colOff>687550</xdr:colOff>
      <xdr:row>21</xdr:row>
      <xdr:rowOff>95224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322359</xdr:colOff>
      <xdr:row>22</xdr:row>
      <xdr:rowOff>86033</xdr:rowOff>
    </xdr:from>
    <xdr:to>
      <xdr:col>11</xdr:col>
      <xdr:colOff>713561</xdr:colOff>
      <xdr:row>35</xdr:row>
      <xdr:rowOff>221761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MatchedRecordsTbl" displayName="MatchedRecordsTbl" ref="A4:G546" totalsRowShown="0">
  <autoFilter ref="A4:G546" xr:uid="{00000000-0009-0000-0100-000003000000}"/>
  <tableColumns count="7">
    <tableColumn id="1" xr3:uid="{00000000-0010-0000-0000-000001000000}" name="Books.xlsx Row"/>
    <tableColumn id="2" xr3:uid="{00000000-0010-0000-0000-000002000000}" name="portal.xlsx Row"/>
    <tableColumn id="3" xr3:uid="{00000000-0010-0000-0000-000003000000}" name="EMP# (Books.xlsx)"/>
    <tableColumn id="4" xr3:uid="{00000000-0010-0000-0000-000004000000}" name="EMP# (portal.xlsx)"/>
    <tableColumn id="5" xr3:uid="{00000000-0010-0000-0000-000005000000}" name="Match Type"/>
    <tableColumn id="6" xr3:uid="{00000000-0010-0000-0000-000006000000}" name="Match Confidence"/>
    <tableColumn id="7" xr3:uid="{00000000-0010-0000-0000-000007000000}" name="Match 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04MissingBooks" displayName="_04MissingBooks" ref="A4:S14" totalsRowShown="0">
  <autoFilter ref="A4:S14" xr:uid="{00000000-0009-0000-0100-000001000000}"/>
  <tableColumns count="19">
    <tableColumn id="1" xr3:uid="{00000000-0010-0000-0100-000001000000}" name="EMP#"/>
    <tableColumn id="2" xr3:uid="{00000000-0010-0000-0100-000002000000}" name="Client"/>
    <tableColumn id="3" xr3:uid="{00000000-0010-0000-0100-000003000000}" name="Employee - Last"/>
    <tableColumn id="4" xr3:uid="{00000000-0010-0000-0100-000004000000}" name="Employee - First"/>
    <tableColumn id="5" xr3:uid="{00000000-0010-0000-0100-000005000000}" name="Total ST"/>
    <tableColumn id="6" xr3:uid="{00000000-0010-0000-0100-000006000000}" name="Total OT"/>
    <tableColumn id="7" xr3:uid="{00000000-0010-0000-0100-000007000000}" name="Total Rate 2 OT"/>
    <tableColumn id="8" xr3:uid="{00000000-0010-0000-0100-000008000000}" name="Per Diem/Benf. Offset"/>
    <tableColumn id="9" xr3:uid="{00000000-0010-0000-0100-000009000000}" name="Per Diem Rate"/>
    <tableColumn id="10" xr3:uid="{00000000-0010-0000-0100-00000A000000}" name="Expenses"/>
    <tableColumn id="11" xr3:uid="{00000000-0010-0000-0100-00000B000000}" name="Holiday"/>
    <tableColumn id="12" xr3:uid="{00000000-0010-0000-0100-00000C000000}" name="Misc. Earnings"/>
    <tableColumn id="13" xr3:uid="{00000000-0010-0000-0100-00000D000000}" name="Vacation"/>
    <tableColumn id="14" xr3:uid="{00000000-0010-0000-0100-00000E000000}" name="Sick"/>
    <tableColumn id="15" xr3:uid="{00000000-0010-0000-0100-00000F000000}" name="Retro Pay"/>
    <tableColumn id="16" xr3:uid="{00000000-0010-0000-0100-000010000000}" name="Retro ST"/>
    <tableColumn id="17" xr3:uid="{00000000-0010-0000-0100-000011000000}" name="Retro OT"/>
    <tableColumn id="18" xr3:uid="{00000000-0010-0000-0100-000012000000}" name="Bonus"/>
    <tableColumn id="19" xr3:uid="{00000000-0010-0000-0100-000013000000}" name="portal.xlsx Row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05MissingPortal" displayName="_05MissingPortal" ref="A4:S14" totalsRowShown="0">
  <autoFilter ref="A4:S14" xr:uid="{00000000-0009-0000-0100-000002000000}"/>
  <tableColumns count="19">
    <tableColumn id="1" xr3:uid="{00000000-0010-0000-0200-000001000000}" name="EMP#"/>
    <tableColumn id="2" xr3:uid="{00000000-0010-0000-0200-000002000000}" name="Client"/>
    <tableColumn id="3" xr3:uid="{00000000-0010-0000-0200-000003000000}" name="Employee - Last"/>
    <tableColumn id="4" xr3:uid="{00000000-0010-0000-0200-000004000000}" name="Employee - First"/>
    <tableColumn id="5" xr3:uid="{00000000-0010-0000-0200-000005000000}" name="Total ST"/>
    <tableColumn id="6" xr3:uid="{00000000-0010-0000-0200-000006000000}" name="Total OT"/>
    <tableColumn id="7" xr3:uid="{00000000-0010-0000-0200-000007000000}" name="Total Rate 2 OT"/>
    <tableColumn id="8" xr3:uid="{00000000-0010-0000-0200-000008000000}" name="Per Diem/Benf. Offset"/>
    <tableColumn id="9" xr3:uid="{00000000-0010-0000-0200-000009000000}" name="Per Diem Rate"/>
    <tableColumn id="10" xr3:uid="{00000000-0010-0000-0200-00000A000000}" name="Expenses"/>
    <tableColumn id="11" xr3:uid="{00000000-0010-0000-0200-00000B000000}" name="Holiday"/>
    <tableColumn id="12" xr3:uid="{00000000-0010-0000-0200-00000C000000}" name="Misc. Earnings"/>
    <tableColumn id="13" xr3:uid="{00000000-0010-0000-0200-00000D000000}" name="Vacation"/>
    <tableColumn id="14" xr3:uid="{00000000-0010-0000-0200-00000E000000}" name="Sick"/>
    <tableColumn id="15" xr3:uid="{00000000-0010-0000-0200-00000F000000}" name="Retro Pay"/>
    <tableColumn id="16" xr3:uid="{00000000-0010-0000-0200-000010000000}" name="Retro ST"/>
    <tableColumn id="17" xr3:uid="{00000000-0010-0000-0200-000011000000}" name="Retro OT"/>
    <tableColumn id="18" xr3:uid="{00000000-0010-0000-0200-000012000000}" name="Bonus"/>
    <tableColumn id="19" xr3:uid="{00000000-0010-0000-0200-000013000000}" name="Books.xlsx Row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1:N42"/>
  <sheetViews>
    <sheetView showGridLines="0" tabSelected="1" zoomScale="56" zoomScaleNormal="100" workbookViewId="0">
      <selection activeCell="P13" sqref="P13"/>
    </sheetView>
  </sheetViews>
  <sheetFormatPr defaultColWidth="8.6640625" defaultRowHeight="14.4" x14ac:dyDescent="0.3"/>
  <cols>
    <col min="1" max="1" width="2.44140625" customWidth="1"/>
    <col min="2" max="2" width="22" customWidth="1"/>
    <col min="3" max="13" width="13" customWidth="1"/>
    <col min="14" max="14" width="2.44140625" customWidth="1"/>
  </cols>
  <sheetData>
    <row r="1" spans="2:14" ht="33.75" customHeight="1" x14ac:dyDescent="0.3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2:14" ht="19.5" customHeight="1" x14ac:dyDescent="0.3"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2:14" ht="21.75" customHeight="1" x14ac:dyDescent="0.3">
      <c r="B4" s="12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2:14" ht="15.75" customHeight="1" x14ac:dyDescent="0.3">
      <c r="B5" s="11" t="s">
        <v>3</v>
      </c>
      <c r="C5" s="11"/>
      <c r="D5" s="11" t="s">
        <v>4</v>
      </c>
      <c r="E5" s="11"/>
      <c r="F5" s="11" t="s">
        <v>5</v>
      </c>
      <c r="G5" s="11"/>
      <c r="H5" s="11" t="s">
        <v>6</v>
      </c>
      <c r="I5" s="11"/>
      <c r="J5" s="11" t="s">
        <v>7</v>
      </c>
      <c r="K5" s="11"/>
      <c r="L5" s="11" t="s">
        <v>8</v>
      </c>
      <c r="M5" s="11"/>
    </row>
    <row r="6" spans="2:14" ht="30" customHeight="1" x14ac:dyDescent="0.3">
      <c r="B6" s="10">
        <f>COUNTA('03 Matched Records'!C5:C546)+SUM('02 Exceptions'!L5:L15)+COUNTA('04 Missing - Books'!A5:A14)+COUNTA('05 Missing - Portal'!A5:A14)</f>
        <v>571</v>
      </c>
      <c r="C6" s="10"/>
      <c r="D6" s="9">
        <f>COUNTA('03 Matched Records'!C5:C546)</f>
        <v>542</v>
      </c>
      <c r="E6" s="9"/>
      <c r="F6" s="8">
        <f>SUM('02 Exceptions'!L5:L15)</f>
        <v>9</v>
      </c>
      <c r="G6" s="8"/>
      <c r="H6" s="7">
        <f>COUNTA('04 Missing - Books'!A5:A14)+COUNTA('05 Missing - Portal'!A5:A14)</f>
        <v>20</v>
      </c>
      <c r="I6" s="7"/>
      <c r="J6" s="6">
        <f>IF($B$6&gt;0,$D$6/$B$6,0)</f>
        <v>0.94921190893169882</v>
      </c>
      <c r="K6" s="6"/>
      <c r="L6" s="5">
        <f>IF($B$6&gt;0,$F$6/$B$6,0)</f>
        <v>1.5761821366024518E-2</v>
      </c>
      <c r="M6" s="5"/>
    </row>
    <row r="7" spans="2:14" ht="15.75" customHeight="1" x14ac:dyDescent="0.3">
      <c r="B7" s="4" t="str">
        <f>"Unique EMP# across both files"</f>
        <v>Unique EMP# across both files</v>
      </c>
      <c r="C7" s="4"/>
      <c r="D7" s="4" t="str">
        <f>"of "&amp;$B$6&amp;" records reviewed"</f>
        <v>of 571 records reviewed</v>
      </c>
      <c r="E7" s="4"/>
      <c r="F7" s="4" t="str">
        <f>(COUNTA('02 Exceptions'!B5:B15))&amp;" field-level mismatch(es)"</f>
        <v>11 field-level mismatch(es)</v>
      </c>
      <c r="G7" s="4"/>
      <c r="H7" s="4" t="str">
        <f>(COUNTA('04 Missing - Books'!A5:A14))&amp;" + "&amp;(COUNTA('05 Missing - Portal'!A5:A14))&amp;" by source"</f>
        <v>10 + 10 by source</v>
      </c>
      <c r="I7" s="4"/>
      <c r="J7" s="4" t="str">
        <f>"records matched cleanly"</f>
        <v>records matched cleanly</v>
      </c>
      <c r="K7" s="4"/>
      <c r="L7" s="4" t="str">
        <f>"records need review"</f>
        <v>records need review</v>
      </c>
      <c r="M7" s="4"/>
    </row>
    <row r="9" spans="2:14" ht="21.75" customHeight="1" x14ac:dyDescent="0.3">
      <c r="B9" s="12" t="s">
        <v>9</v>
      </c>
      <c r="C9" s="12"/>
      <c r="D9" s="12"/>
      <c r="E9" s="12"/>
      <c r="F9" s="12"/>
    </row>
    <row r="10" spans="2:14" ht="15.75" customHeight="1" x14ac:dyDescent="0.3">
      <c r="B10" s="15" t="s">
        <v>10</v>
      </c>
      <c r="C10" s="15" t="s">
        <v>11</v>
      </c>
      <c r="D10" s="15" t="s">
        <v>12</v>
      </c>
    </row>
    <row r="11" spans="2:14" x14ac:dyDescent="0.3">
      <c r="B11" s="16" t="s">
        <v>13</v>
      </c>
      <c r="C11" s="17">
        <f>$D$6</f>
        <v>542</v>
      </c>
      <c r="D11" s="18">
        <f>C11/$B$6</f>
        <v>0.94921190893169882</v>
      </c>
    </row>
    <row r="12" spans="2:14" x14ac:dyDescent="0.3">
      <c r="B12" s="19" t="s">
        <v>14</v>
      </c>
      <c r="C12" s="20">
        <f>$F$6</f>
        <v>9</v>
      </c>
      <c r="D12" s="21">
        <f>C12/$B$6</f>
        <v>1.5761821366024518E-2</v>
      </c>
    </row>
    <row r="13" spans="2:14" x14ac:dyDescent="0.3">
      <c r="B13" s="16" t="s">
        <v>15</v>
      </c>
      <c r="C13" s="17">
        <f>COUNTA('04 Missing - Books'!A5:A14)</f>
        <v>10</v>
      </c>
      <c r="D13" s="18">
        <f>C13/$B$6</f>
        <v>1.7513134851138354E-2</v>
      </c>
    </row>
    <row r="14" spans="2:14" x14ac:dyDescent="0.3">
      <c r="B14" s="19" t="s">
        <v>16</v>
      </c>
      <c r="C14" s="20">
        <f>COUNTA('05 Missing - Portal'!A5:A14)</f>
        <v>10</v>
      </c>
      <c r="D14" s="21">
        <f>C14/$B$6</f>
        <v>1.7513134851138354E-2</v>
      </c>
    </row>
    <row r="15" spans="2:14" x14ac:dyDescent="0.3">
      <c r="B15" s="22" t="s">
        <v>17</v>
      </c>
      <c r="C15" s="23">
        <f>SUM(C11:C14)</f>
        <v>571</v>
      </c>
      <c r="D15" s="24">
        <f>SUM(D11:D14)</f>
        <v>1</v>
      </c>
    </row>
    <row r="17" spans="2:14" ht="21.75" customHeight="1" x14ac:dyDescent="0.3">
      <c r="B17" s="12" t="s">
        <v>18</v>
      </c>
      <c r="C17" s="12"/>
      <c r="D17" s="12"/>
      <c r="E17" s="12"/>
      <c r="F17" s="12"/>
    </row>
    <row r="18" spans="2:14" ht="15.75" customHeight="1" x14ac:dyDescent="0.3">
      <c r="B18" s="15" t="s">
        <v>19</v>
      </c>
      <c r="C18" s="15" t="s">
        <v>11</v>
      </c>
      <c r="D18" s="15" t="s">
        <v>12</v>
      </c>
    </row>
    <row r="19" spans="2:14" x14ac:dyDescent="0.3">
      <c r="B19" s="25" t="s">
        <v>20</v>
      </c>
      <c r="C19" s="26">
        <f>COUNTIFS('02 Exceptions'!$H$5:$H$15,"Value Difference")</f>
        <v>7</v>
      </c>
      <c r="D19" s="27">
        <f>C19/SUM($C$19:$C$22)</f>
        <v>0.22580645161290322</v>
      </c>
    </row>
    <row r="20" spans="2:14" x14ac:dyDescent="0.3">
      <c r="B20" s="28" t="s">
        <v>21</v>
      </c>
      <c r="C20" s="29">
        <f>COUNTIFS('02 Exceptions'!$H$5:$H$15,"Text Difference")</f>
        <v>4</v>
      </c>
      <c r="D20" s="30">
        <f>C20/SUM($C$19:$C$22)</f>
        <v>0.12903225806451613</v>
      </c>
    </row>
    <row r="21" spans="2:14" x14ac:dyDescent="0.3">
      <c r="B21" s="25" t="s">
        <v>15</v>
      </c>
      <c r="C21" s="26">
        <f>COUNTA('04 Missing - Books'!A5:A14)</f>
        <v>10</v>
      </c>
      <c r="D21" s="27">
        <f>C21/SUM($C$19:$C$22)</f>
        <v>0.32258064516129031</v>
      </c>
    </row>
    <row r="22" spans="2:14" x14ac:dyDescent="0.3">
      <c r="B22" s="28" t="s">
        <v>16</v>
      </c>
      <c r="C22" s="29">
        <f>COUNTA('05 Missing - Portal'!A5:A14)</f>
        <v>10</v>
      </c>
      <c r="D22" s="30">
        <f>C22/SUM($C$19:$C$22)</f>
        <v>0.32258064516129031</v>
      </c>
    </row>
    <row r="24" spans="2:14" ht="21.75" customHeight="1" x14ac:dyDescent="0.3">
      <c r="B24" s="12" t="s">
        <v>22</v>
      </c>
      <c r="C24" s="12"/>
      <c r="D24" s="12"/>
      <c r="E24" s="12"/>
      <c r="F24" s="12"/>
    </row>
    <row r="25" spans="2:14" ht="15.75" customHeight="1" x14ac:dyDescent="0.3">
      <c r="B25" s="15" t="s">
        <v>23</v>
      </c>
      <c r="C25" s="15" t="s">
        <v>13</v>
      </c>
      <c r="D25" s="15" t="s">
        <v>24</v>
      </c>
      <c r="E25" s="15" t="s">
        <v>25</v>
      </c>
    </row>
    <row r="26" spans="2:14" x14ac:dyDescent="0.3">
      <c r="B26" s="25" t="s">
        <v>26</v>
      </c>
      <c r="C26" s="26">
        <f>$D$6</f>
        <v>542</v>
      </c>
      <c r="D26" s="26">
        <f>COUNTIFS('02 Exceptions'!$C$5:$C$15,B26)</f>
        <v>6</v>
      </c>
      <c r="E26" s="27">
        <f>IF((C26+D26)&gt;0,C26/(C26+D26),0)</f>
        <v>0.98905109489051091</v>
      </c>
    </row>
    <row r="27" spans="2:14" x14ac:dyDescent="0.3">
      <c r="B27" s="28" t="s">
        <v>27</v>
      </c>
      <c r="C27" s="29">
        <f>$D$6</f>
        <v>542</v>
      </c>
      <c r="D27" s="29">
        <f>COUNTIFS('02 Exceptions'!$C$5:$C$15,B27)</f>
        <v>4</v>
      </c>
      <c r="E27" s="30">
        <f>IF((C27+D27)&gt;0,C27/(C27+D27),0)</f>
        <v>0.9926739926739927</v>
      </c>
    </row>
    <row r="28" spans="2:14" x14ac:dyDescent="0.3">
      <c r="B28" s="25" t="s">
        <v>28</v>
      </c>
      <c r="C28" s="26">
        <f>$D$6</f>
        <v>542</v>
      </c>
      <c r="D28" s="26">
        <f>COUNTIFS('02 Exceptions'!$C$5:$C$15,B28)</f>
        <v>1</v>
      </c>
      <c r="E28" s="27">
        <f>IF((C28+D28)&gt;0,C28/(C28+D28),0)</f>
        <v>0.99815837937384899</v>
      </c>
    </row>
    <row r="30" spans="2:14" ht="21.75" customHeight="1" x14ac:dyDescent="0.3">
      <c r="B30" s="12" t="s">
        <v>29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2:14" ht="15.75" customHeight="1" x14ac:dyDescent="0.3">
      <c r="B31" s="3" t="str">
        <f>"•  "&amp;TEXT($J$6,"0.0%")&amp;" of records matched perfectly ("&amp;$D$6&amp;" of "&amp;$B$6&amp;")."</f>
        <v>•  94.9% of records matched perfectly (542 of 571).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ht="15.75" customHeight="1" x14ac:dyDescent="0.3">
      <c r="B32" s="3" t="str">
        <f>"•  "&amp;$F$6&amp;" discrepant record(s) identified ("&amp;(COUNTA('02 Exceptions'!B5:B15))&amp;" field mismatches) — review required."</f>
        <v>•  9 discrepant record(s) identified (11 field mismatches) — review required.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ht="15.75" customHeight="1" x14ac:dyDescent="0.3">
      <c r="B33" s="3" t="str">
        <f>"•  "&amp;(COUNTA('04 Missing - Books'!A5:A14)+COUNTA('05 Missing - Portal'!A5:A14))&amp;" record(s) missing from one or both sources ("&amp;(COUNTA('04 Missing - Books'!A5:A14))&amp;" Books.xlsx, "&amp;(COUNTA('05 Missing - Portal'!A5:A14))&amp;" portal.xlsx)."</f>
        <v>•  20 record(s) missing from one or both sources (10 Books.xlsx, 10 portal.xlsx).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2:14" ht="15.75" customHeight="1" x14ac:dyDescent="0.3">
      <c r="B34" s="3" t="str">
        <f>"•  Field '"&amp;INDEX($B$26:$B$28,MATCH(MAX($D$26:$D$28),$D$26:$D$28,0))&amp;"' has the highest exception count ("&amp;MAX($D$26:$D$28)&amp;")."</f>
        <v>•  Field 'TOTAL ST' has the highest exception count (6).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6" spans="2:14" ht="21.75" customHeight="1" x14ac:dyDescent="0.3">
      <c r="B36" s="12" t="s">
        <v>30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2:14" ht="15.75" customHeight="1" x14ac:dyDescent="0.3">
      <c r="B37" s="2" t="s">
        <v>31</v>
      </c>
      <c r="C37" s="2"/>
      <c r="D37" s="2"/>
      <c r="E37" s="2" t="s">
        <v>32</v>
      </c>
      <c r="F37" s="2"/>
      <c r="G37" s="2"/>
      <c r="H37" s="2" t="s">
        <v>33</v>
      </c>
      <c r="I37" s="2"/>
      <c r="J37" s="2"/>
      <c r="K37" s="2" t="s">
        <v>34</v>
      </c>
      <c r="L37" s="2"/>
      <c r="M37" s="2"/>
    </row>
    <row r="38" spans="2:14" ht="21.75" customHeight="1" x14ac:dyDescent="0.3">
      <c r="B38" s="1">
        <f>$B$6</f>
        <v>571</v>
      </c>
      <c r="C38" s="1"/>
      <c r="D38" s="1"/>
      <c r="E38" s="1">
        <f>$F$6</f>
        <v>9</v>
      </c>
      <c r="F38" s="1"/>
      <c r="G38" s="1"/>
      <c r="H38" s="1">
        <f>$H$6</f>
        <v>20</v>
      </c>
      <c r="I38" s="1"/>
      <c r="J38" s="1"/>
      <c r="K38" s="48" t="s">
        <v>35</v>
      </c>
      <c r="L38" s="48"/>
      <c r="M38" s="48"/>
    </row>
    <row r="40" spans="2:14" x14ac:dyDescent="0.3">
      <c r="B40" s="49" t="s">
        <v>36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</row>
    <row r="42" spans="2:14" x14ac:dyDescent="0.3">
      <c r="B42" s="50" t="s">
        <v>37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</row>
  </sheetData>
  <mergeCells count="40">
    <mergeCell ref="B42:M42"/>
    <mergeCell ref="B38:D38"/>
    <mergeCell ref="E38:G38"/>
    <mergeCell ref="H38:J38"/>
    <mergeCell ref="K38:M38"/>
    <mergeCell ref="B40:M40"/>
    <mergeCell ref="B32:N32"/>
    <mergeCell ref="B33:N33"/>
    <mergeCell ref="B34:N34"/>
    <mergeCell ref="B36:M36"/>
    <mergeCell ref="B37:D37"/>
    <mergeCell ref="E37:G37"/>
    <mergeCell ref="H37:J37"/>
    <mergeCell ref="K37:M37"/>
    <mergeCell ref="B9:F9"/>
    <mergeCell ref="B17:F17"/>
    <mergeCell ref="B24:F24"/>
    <mergeCell ref="B30:M30"/>
    <mergeCell ref="B31:N31"/>
    <mergeCell ref="L6:M6"/>
    <mergeCell ref="B7:C7"/>
    <mergeCell ref="D7:E7"/>
    <mergeCell ref="F7:G7"/>
    <mergeCell ref="H7:I7"/>
    <mergeCell ref="J7:K7"/>
    <mergeCell ref="L7:M7"/>
    <mergeCell ref="B6:C6"/>
    <mergeCell ref="D6:E6"/>
    <mergeCell ref="F6:G6"/>
    <mergeCell ref="H6:I6"/>
    <mergeCell ref="J6:K6"/>
    <mergeCell ref="B1:N1"/>
    <mergeCell ref="B2:N2"/>
    <mergeCell ref="B4:N4"/>
    <mergeCell ref="B5:C5"/>
    <mergeCell ref="D5:E5"/>
    <mergeCell ref="F5:G5"/>
    <mergeCell ref="H5:I5"/>
    <mergeCell ref="J5:K5"/>
    <mergeCell ref="L5:M5"/>
  </mergeCells>
  <pageMargins left="0.4" right="0.4" top="0.5" bottom="0.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392B"/>
    <pageSetUpPr fitToPage="1"/>
  </sheetPr>
  <dimension ref="A1:L15"/>
  <sheetViews>
    <sheetView showGridLines="0" zoomScaleNormal="100" workbookViewId="0">
      <pane ySplit="4" topLeftCell="A5" activePane="bottomLeft" state="frozen"/>
      <selection pane="bottomLeft" activeCell="D21" sqref="D21"/>
    </sheetView>
  </sheetViews>
  <sheetFormatPr defaultColWidth="8.6640625" defaultRowHeight="14.4" x14ac:dyDescent="0.3"/>
  <cols>
    <col min="1" max="1" width="16.44140625" bestFit="1" customWidth="1"/>
    <col min="2" max="2" width="21.44140625" bestFit="1" customWidth="1"/>
    <col min="3" max="3" width="15.88671875" bestFit="1" customWidth="1"/>
    <col min="4" max="4" width="20.44140625" bestFit="1" customWidth="1"/>
    <col min="5" max="5" width="20" bestFit="1" customWidth="1"/>
    <col min="6" max="6" width="14.21875" bestFit="1" customWidth="1"/>
    <col min="7" max="7" width="16.5546875" bestFit="1" customWidth="1"/>
    <col min="8" max="8" width="19" bestFit="1" customWidth="1"/>
    <col min="9" max="9" width="12.5546875" bestFit="1" customWidth="1"/>
    <col min="10" max="10" width="11.109375" bestFit="1" customWidth="1"/>
    <col min="11" max="11" width="16.6640625" bestFit="1" customWidth="1"/>
    <col min="12" max="12" width="14.6640625" bestFit="1" customWidth="1"/>
  </cols>
  <sheetData>
    <row r="1" spans="1:12" ht="19.5" customHeight="1" x14ac:dyDescent="0.3">
      <c r="A1" s="51" t="s">
        <v>38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15.75" customHeight="1" x14ac:dyDescent="0.3">
      <c r="A2" s="52" t="s">
        <v>39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4" spans="1:12" ht="19.5" customHeight="1" x14ac:dyDescent="0.3">
      <c r="A4" s="15" t="s">
        <v>40</v>
      </c>
      <c r="B4" s="15" t="s">
        <v>41</v>
      </c>
      <c r="C4" s="15" t="s">
        <v>23</v>
      </c>
      <c r="D4" s="15" t="s">
        <v>42</v>
      </c>
      <c r="E4" s="15" t="s">
        <v>43</v>
      </c>
      <c r="F4" s="15" t="s">
        <v>44</v>
      </c>
      <c r="G4" s="15" t="s">
        <v>45</v>
      </c>
      <c r="H4" s="15" t="s">
        <v>19</v>
      </c>
      <c r="I4" s="15" t="s">
        <v>46</v>
      </c>
      <c r="J4" s="15" t="s">
        <v>47</v>
      </c>
      <c r="K4" s="15" t="s">
        <v>48</v>
      </c>
      <c r="L4" s="15" t="s">
        <v>49</v>
      </c>
    </row>
    <row r="5" spans="1:12" x14ac:dyDescent="0.3">
      <c r="A5" s="31" t="s">
        <v>50</v>
      </c>
      <c r="B5" s="31" t="s">
        <v>51</v>
      </c>
      <c r="C5" s="31" t="s">
        <v>26</v>
      </c>
      <c r="D5" s="32">
        <v>33</v>
      </c>
      <c r="E5" s="32">
        <v>32</v>
      </c>
      <c r="F5" s="32">
        <v>1</v>
      </c>
      <c r="G5" s="33">
        <v>3.125E-2</v>
      </c>
      <c r="H5" s="31" t="s">
        <v>20</v>
      </c>
      <c r="I5" s="31" t="s">
        <v>52</v>
      </c>
      <c r="J5" s="31" t="s">
        <v>53</v>
      </c>
      <c r="K5" s="31"/>
      <c r="L5" s="34">
        <f>IF(COUNTIF($B$5:B5,B5)=1,1,0)</f>
        <v>1</v>
      </c>
    </row>
    <row r="6" spans="1:12" x14ac:dyDescent="0.3">
      <c r="A6" s="35" t="s">
        <v>54</v>
      </c>
      <c r="B6" s="35" t="s">
        <v>55</v>
      </c>
      <c r="C6" s="35" t="s">
        <v>28</v>
      </c>
      <c r="D6" s="36">
        <v>3</v>
      </c>
      <c r="E6" s="36">
        <v>2.2000000000000002</v>
      </c>
      <c r="F6" s="36">
        <v>0.8</v>
      </c>
      <c r="G6" s="37">
        <v>0.36363636363636398</v>
      </c>
      <c r="H6" s="35" t="s">
        <v>20</v>
      </c>
      <c r="I6" s="35" t="s">
        <v>52</v>
      </c>
      <c r="J6" s="35" t="s">
        <v>53</v>
      </c>
      <c r="K6" s="35"/>
      <c r="L6" s="38">
        <f>IF(COUNTIF($B$5:B6,B6)=1,1,0)</f>
        <v>1</v>
      </c>
    </row>
    <row r="7" spans="1:12" x14ac:dyDescent="0.3">
      <c r="A7" s="31" t="s">
        <v>56</v>
      </c>
      <c r="B7" s="31" t="s">
        <v>57</v>
      </c>
      <c r="C7" s="31" t="s">
        <v>26</v>
      </c>
      <c r="D7" s="32">
        <v>31</v>
      </c>
      <c r="E7" s="32">
        <v>72</v>
      </c>
      <c r="F7" s="32">
        <v>-41</v>
      </c>
      <c r="G7" s="33">
        <v>-0.56944444444444398</v>
      </c>
      <c r="H7" s="31" t="s">
        <v>20</v>
      </c>
      <c r="I7" s="31" t="s">
        <v>52</v>
      </c>
      <c r="J7" s="31" t="s">
        <v>53</v>
      </c>
      <c r="K7" s="31"/>
      <c r="L7" s="34">
        <f>IF(COUNTIF($B$5:B7,B7)=1,1,0)</f>
        <v>1</v>
      </c>
    </row>
    <row r="8" spans="1:12" x14ac:dyDescent="0.3">
      <c r="A8" s="35" t="s">
        <v>58</v>
      </c>
      <c r="B8" s="35" t="s">
        <v>59</v>
      </c>
      <c r="C8" s="35" t="s">
        <v>27</v>
      </c>
      <c r="D8" s="38" t="s">
        <v>60</v>
      </c>
      <c r="E8" s="38" t="s">
        <v>61</v>
      </c>
      <c r="F8" s="38"/>
      <c r="G8" s="37"/>
      <c r="H8" s="35" t="s">
        <v>21</v>
      </c>
      <c r="I8" s="35" t="s">
        <v>52</v>
      </c>
      <c r="J8" s="35" t="s">
        <v>53</v>
      </c>
      <c r="K8" s="35"/>
      <c r="L8" s="38">
        <f>IF(COUNTIF($B$5:B8,B8)=1,1,0)</f>
        <v>1</v>
      </c>
    </row>
    <row r="9" spans="1:12" x14ac:dyDescent="0.3">
      <c r="A9" s="31" t="s">
        <v>58</v>
      </c>
      <c r="B9" s="31" t="s">
        <v>59</v>
      </c>
      <c r="C9" s="31" t="s">
        <v>26</v>
      </c>
      <c r="D9" s="32">
        <v>3</v>
      </c>
      <c r="E9" s="32">
        <v>72</v>
      </c>
      <c r="F9" s="32">
        <v>-69</v>
      </c>
      <c r="G9" s="33">
        <v>-0.95833333333333404</v>
      </c>
      <c r="H9" s="31" t="s">
        <v>20</v>
      </c>
      <c r="I9" s="31" t="s">
        <v>52</v>
      </c>
      <c r="J9" s="31" t="s">
        <v>53</v>
      </c>
      <c r="K9" s="31"/>
      <c r="L9" s="34">
        <f>IF(COUNTIF($B$5:B9,B9)=1,1,0)</f>
        <v>0</v>
      </c>
    </row>
    <row r="10" spans="1:12" x14ac:dyDescent="0.3">
      <c r="A10" s="35" t="s">
        <v>62</v>
      </c>
      <c r="B10" s="35" t="s">
        <v>63</v>
      </c>
      <c r="C10" s="35" t="s">
        <v>27</v>
      </c>
      <c r="D10" s="38" t="s">
        <v>64</v>
      </c>
      <c r="E10" s="38" t="s">
        <v>65</v>
      </c>
      <c r="F10" s="38"/>
      <c r="G10" s="37"/>
      <c r="H10" s="35" t="s">
        <v>21</v>
      </c>
      <c r="I10" s="35" t="s">
        <v>52</v>
      </c>
      <c r="J10" s="35" t="s">
        <v>53</v>
      </c>
      <c r="K10" s="35"/>
      <c r="L10" s="38">
        <f>IF(COUNTIF($B$5:B10,B10)=1,1,0)</f>
        <v>1</v>
      </c>
    </row>
    <row r="11" spans="1:12" x14ac:dyDescent="0.3">
      <c r="A11" s="31" t="s">
        <v>62</v>
      </c>
      <c r="B11" s="31" t="s">
        <v>63</v>
      </c>
      <c r="C11" s="31" t="s">
        <v>26</v>
      </c>
      <c r="D11" s="32">
        <v>31</v>
      </c>
      <c r="E11" s="32">
        <v>80</v>
      </c>
      <c r="F11" s="32">
        <v>-49</v>
      </c>
      <c r="G11" s="33">
        <v>-0.61250000000000004</v>
      </c>
      <c r="H11" s="31" t="s">
        <v>20</v>
      </c>
      <c r="I11" s="31" t="s">
        <v>52</v>
      </c>
      <c r="J11" s="31" t="s">
        <v>53</v>
      </c>
      <c r="K11" s="31"/>
      <c r="L11" s="34">
        <f>IF(COUNTIF($B$5:B11,B11)=1,1,0)</f>
        <v>0</v>
      </c>
    </row>
    <row r="12" spans="1:12" x14ac:dyDescent="0.3">
      <c r="A12" s="35" t="s">
        <v>66</v>
      </c>
      <c r="B12" s="35" t="s">
        <v>67</v>
      </c>
      <c r="C12" s="35" t="s">
        <v>26</v>
      </c>
      <c r="D12" s="36">
        <v>64</v>
      </c>
      <c r="E12" s="36">
        <v>72</v>
      </c>
      <c r="F12" s="36">
        <v>-8</v>
      </c>
      <c r="G12" s="37">
        <v>-0.11111111111111099</v>
      </c>
      <c r="H12" s="35" t="s">
        <v>20</v>
      </c>
      <c r="I12" s="35" t="s">
        <v>52</v>
      </c>
      <c r="J12" s="35" t="s">
        <v>53</v>
      </c>
      <c r="K12" s="35"/>
      <c r="L12" s="38">
        <f>IF(COUNTIF($B$5:B12,B12)=1,1,0)</f>
        <v>1</v>
      </c>
    </row>
    <row r="13" spans="1:12" x14ac:dyDescent="0.3">
      <c r="A13" s="31" t="s">
        <v>68</v>
      </c>
      <c r="B13" s="31" t="s">
        <v>69</v>
      </c>
      <c r="C13" s="31" t="s">
        <v>26</v>
      </c>
      <c r="D13" s="32">
        <v>64</v>
      </c>
      <c r="E13" s="32">
        <v>80</v>
      </c>
      <c r="F13" s="32">
        <v>-16</v>
      </c>
      <c r="G13" s="33">
        <v>-0.2</v>
      </c>
      <c r="H13" s="31" t="s">
        <v>20</v>
      </c>
      <c r="I13" s="31" t="s">
        <v>52</v>
      </c>
      <c r="J13" s="31" t="s">
        <v>53</v>
      </c>
      <c r="K13" s="31"/>
      <c r="L13" s="34">
        <f>IF(COUNTIF($B$5:B13,B13)=1,1,0)</f>
        <v>1</v>
      </c>
    </row>
    <row r="14" spans="1:12" x14ac:dyDescent="0.3">
      <c r="A14" s="35" t="s">
        <v>70</v>
      </c>
      <c r="B14" s="35" t="s">
        <v>71</v>
      </c>
      <c r="C14" s="35" t="s">
        <v>27</v>
      </c>
      <c r="D14" s="38" t="s">
        <v>72</v>
      </c>
      <c r="E14" s="38" t="s">
        <v>73</v>
      </c>
      <c r="F14" s="38"/>
      <c r="G14" s="37"/>
      <c r="H14" s="35" t="s">
        <v>21</v>
      </c>
      <c r="I14" s="35" t="s">
        <v>52</v>
      </c>
      <c r="J14" s="35" t="s">
        <v>53</v>
      </c>
      <c r="K14" s="35"/>
      <c r="L14" s="38">
        <f>IF(COUNTIF($B$5:B14,B14)=1,1,0)</f>
        <v>1</v>
      </c>
    </row>
    <row r="15" spans="1:12" x14ac:dyDescent="0.3">
      <c r="A15" s="31" t="s">
        <v>74</v>
      </c>
      <c r="B15" s="31" t="s">
        <v>75</v>
      </c>
      <c r="C15" s="31" t="s">
        <v>27</v>
      </c>
      <c r="D15" s="34" t="s">
        <v>76</v>
      </c>
      <c r="E15" s="34" t="s">
        <v>77</v>
      </c>
      <c r="F15" s="34"/>
      <c r="G15" s="33"/>
      <c r="H15" s="31" t="s">
        <v>21</v>
      </c>
      <c r="I15" s="31" t="s">
        <v>52</v>
      </c>
      <c r="J15" s="31" t="s">
        <v>53</v>
      </c>
      <c r="K15" s="31"/>
      <c r="L15" s="34">
        <f>IF(COUNTIF($B$5:B15,B15)=1,1,0)</f>
        <v>1</v>
      </c>
    </row>
  </sheetData>
  <autoFilter ref="A4:K15" xr:uid="{00000000-0009-0000-0000-000001000000}"/>
  <mergeCells count="2">
    <mergeCell ref="A1:L1"/>
    <mergeCell ref="A2:L2"/>
  </mergeCells>
  <conditionalFormatting sqref="I5:I15">
    <cfRule type="cellIs" dxfId="8" priority="2" operator="equal">
      <formula>"High"</formula>
    </cfRule>
    <cfRule type="cellIs" dxfId="7" priority="3" operator="equal">
      <formula>"Medium"</formula>
    </cfRule>
    <cfRule type="cellIs" dxfId="6" priority="4" operator="equal">
      <formula>"Low"</formula>
    </cfRule>
  </conditionalFormatting>
  <conditionalFormatting sqref="J5:J15">
    <cfRule type="cellIs" dxfId="5" priority="5" operator="equal">
      <formula>"Open"</formula>
    </cfRule>
    <cfRule type="cellIs" dxfId="4" priority="6" operator="equal">
      <formula>"Resolved"</formula>
    </cfRule>
  </conditionalFormatting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7B34"/>
    <pageSetUpPr fitToPage="1"/>
  </sheetPr>
  <dimension ref="A1:G546"/>
  <sheetViews>
    <sheetView showGridLines="0" zoomScaleNormal="100" workbookViewId="0">
      <pane ySplit="4" topLeftCell="A5" activePane="bottomLeft" state="frozen"/>
      <selection pane="bottomLeft" sqref="A1:G1"/>
    </sheetView>
  </sheetViews>
  <sheetFormatPr defaultColWidth="8.6640625" defaultRowHeight="14.4" x14ac:dyDescent="0.3"/>
  <cols>
    <col min="1" max="1" width="19.5546875" bestFit="1" customWidth="1"/>
    <col min="2" max="2" width="19.109375" bestFit="1" customWidth="1"/>
    <col min="3" max="3" width="22" bestFit="1" customWidth="1"/>
    <col min="4" max="4" width="21.44140625" bestFit="1" customWidth="1"/>
    <col min="5" max="5" width="15.44140625" bestFit="1" customWidth="1"/>
    <col min="6" max="6" width="21.109375" bestFit="1" customWidth="1"/>
    <col min="7" max="7" width="16.88671875" bestFit="1" customWidth="1"/>
  </cols>
  <sheetData>
    <row r="1" spans="1:7" ht="19.5" customHeight="1" x14ac:dyDescent="0.3">
      <c r="A1" s="51" t="s">
        <v>78</v>
      </c>
      <c r="B1" s="51"/>
      <c r="C1" s="51"/>
      <c r="D1" s="51"/>
      <c r="E1" s="51"/>
      <c r="F1" s="51"/>
      <c r="G1" s="51"/>
    </row>
    <row r="2" spans="1:7" ht="15.75" customHeight="1" x14ac:dyDescent="0.3">
      <c r="A2" s="52" t="s">
        <v>79</v>
      </c>
      <c r="B2" s="52"/>
      <c r="C2" s="52"/>
      <c r="D2" s="52"/>
      <c r="E2" s="52"/>
      <c r="F2" s="52"/>
      <c r="G2" s="52"/>
    </row>
    <row r="4" spans="1:7" ht="19.5" customHeight="1" x14ac:dyDescent="0.3">
      <c r="A4" s="15" t="s">
        <v>80</v>
      </c>
      <c r="B4" s="15" t="s">
        <v>81</v>
      </c>
      <c r="C4" s="15" t="s">
        <v>82</v>
      </c>
      <c r="D4" s="15" t="s">
        <v>83</v>
      </c>
      <c r="E4" s="15" t="s">
        <v>84</v>
      </c>
      <c r="F4" s="15" t="s">
        <v>85</v>
      </c>
      <c r="G4" s="15" t="s">
        <v>86</v>
      </c>
    </row>
    <row r="5" spans="1:7" x14ac:dyDescent="0.3">
      <c r="A5" s="39">
        <v>11</v>
      </c>
      <c r="B5" s="39">
        <v>11</v>
      </c>
      <c r="C5" s="40" t="s">
        <v>87</v>
      </c>
      <c r="D5" s="40" t="s">
        <v>87</v>
      </c>
      <c r="E5" s="40" t="s">
        <v>88</v>
      </c>
      <c r="F5" s="41">
        <v>1</v>
      </c>
      <c r="G5" s="40" t="s">
        <v>89</v>
      </c>
    </row>
    <row r="6" spans="1:7" x14ac:dyDescent="0.3">
      <c r="A6" s="39">
        <v>12</v>
      </c>
      <c r="B6" s="39">
        <v>12</v>
      </c>
      <c r="C6" s="40" t="s">
        <v>90</v>
      </c>
      <c r="D6" s="40" t="s">
        <v>90</v>
      </c>
      <c r="E6" s="40" t="s">
        <v>88</v>
      </c>
      <c r="F6" s="41">
        <v>1</v>
      </c>
      <c r="G6" s="40" t="s">
        <v>89</v>
      </c>
    </row>
    <row r="7" spans="1:7" x14ac:dyDescent="0.3">
      <c r="A7" s="39">
        <v>13</v>
      </c>
      <c r="B7" s="39">
        <v>13</v>
      </c>
      <c r="C7" s="40" t="s">
        <v>91</v>
      </c>
      <c r="D7" s="40" t="s">
        <v>91</v>
      </c>
      <c r="E7" s="40" t="s">
        <v>88</v>
      </c>
      <c r="F7" s="41">
        <v>1</v>
      </c>
      <c r="G7" s="40" t="s">
        <v>89</v>
      </c>
    </row>
    <row r="8" spans="1:7" x14ac:dyDescent="0.3">
      <c r="A8" s="39">
        <v>14</v>
      </c>
      <c r="B8" s="39">
        <v>14</v>
      </c>
      <c r="C8" s="40" t="s">
        <v>92</v>
      </c>
      <c r="D8" s="40" t="s">
        <v>92</v>
      </c>
      <c r="E8" s="40" t="s">
        <v>88</v>
      </c>
      <c r="F8" s="41">
        <v>1</v>
      </c>
      <c r="G8" s="40" t="s">
        <v>89</v>
      </c>
    </row>
    <row r="9" spans="1:7" x14ac:dyDescent="0.3">
      <c r="A9" s="39">
        <v>15</v>
      </c>
      <c r="B9" s="39">
        <v>15</v>
      </c>
      <c r="C9" s="40" t="s">
        <v>93</v>
      </c>
      <c r="D9" s="40" t="s">
        <v>93</v>
      </c>
      <c r="E9" s="40" t="s">
        <v>88</v>
      </c>
      <c r="F9" s="41">
        <v>1</v>
      </c>
      <c r="G9" s="40" t="s">
        <v>89</v>
      </c>
    </row>
    <row r="10" spans="1:7" x14ac:dyDescent="0.3">
      <c r="A10" s="39">
        <v>16</v>
      </c>
      <c r="B10" s="39">
        <v>16</v>
      </c>
      <c r="C10" s="40" t="s">
        <v>94</v>
      </c>
      <c r="D10" s="40" t="s">
        <v>94</v>
      </c>
      <c r="E10" s="40" t="s">
        <v>88</v>
      </c>
      <c r="F10" s="41">
        <v>1</v>
      </c>
      <c r="G10" s="40" t="s">
        <v>89</v>
      </c>
    </row>
    <row r="11" spans="1:7" x14ac:dyDescent="0.3">
      <c r="A11" s="39">
        <v>17</v>
      </c>
      <c r="B11" s="39">
        <v>17</v>
      </c>
      <c r="C11" s="40" t="s">
        <v>95</v>
      </c>
      <c r="D11" s="40" t="s">
        <v>95</v>
      </c>
      <c r="E11" s="40" t="s">
        <v>88</v>
      </c>
      <c r="F11" s="41">
        <v>1</v>
      </c>
      <c r="G11" s="40" t="s">
        <v>89</v>
      </c>
    </row>
    <row r="12" spans="1:7" x14ac:dyDescent="0.3">
      <c r="A12" s="39">
        <v>18</v>
      </c>
      <c r="B12" s="39">
        <v>18</v>
      </c>
      <c r="C12" s="40" t="s">
        <v>96</v>
      </c>
      <c r="D12" s="40" t="s">
        <v>96</v>
      </c>
      <c r="E12" s="40" t="s">
        <v>88</v>
      </c>
      <c r="F12" s="41">
        <v>1</v>
      </c>
      <c r="G12" s="40" t="s">
        <v>89</v>
      </c>
    </row>
    <row r="13" spans="1:7" x14ac:dyDescent="0.3">
      <c r="A13" s="39">
        <v>19</v>
      </c>
      <c r="B13" s="39">
        <v>19</v>
      </c>
      <c r="C13" s="40" t="s">
        <v>97</v>
      </c>
      <c r="D13" s="40" t="s">
        <v>97</v>
      </c>
      <c r="E13" s="40" t="s">
        <v>88</v>
      </c>
      <c r="F13" s="41">
        <v>1</v>
      </c>
      <c r="G13" s="40" t="s">
        <v>89</v>
      </c>
    </row>
    <row r="14" spans="1:7" x14ac:dyDescent="0.3">
      <c r="A14" s="39">
        <v>20</v>
      </c>
      <c r="B14" s="39">
        <v>20</v>
      </c>
      <c r="C14" s="40" t="s">
        <v>98</v>
      </c>
      <c r="D14" s="40" t="s">
        <v>98</v>
      </c>
      <c r="E14" s="40" t="s">
        <v>88</v>
      </c>
      <c r="F14" s="41">
        <v>1</v>
      </c>
      <c r="G14" s="40" t="s">
        <v>89</v>
      </c>
    </row>
    <row r="15" spans="1:7" x14ac:dyDescent="0.3">
      <c r="A15" s="39">
        <v>21</v>
      </c>
      <c r="B15" s="39">
        <v>21</v>
      </c>
      <c r="C15" s="40" t="s">
        <v>99</v>
      </c>
      <c r="D15" s="40" t="s">
        <v>99</v>
      </c>
      <c r="E15" s="40" t="s">
        <v>88</v>
      </c>
      <c r="F15" s="41">
        <v>1</v>
      </c>
      <c r="G15" s="40" t="s">
        <v>89</v>
      </c>
    </row>
    <row r="16" spans="1:7" x14ac:dyDescent="0.3">
      <c r="A16" s="39">
        <v>22</v>
      </c>
      <c r="B16" s="39">
        <v>22</v>
      </c>
      <c r="C16" s="40" t="s">
        <v>100</v>
      </c>
      <c r="D16" s="40" t="s">
        <v>100</v>
      </c>
      <c r="E16" s="40" t="s">
        <v>88</v>
      </c>
      <c r="F16" s="41">
        <v>1</v>
      </c>
      <c r="G16" s="40" t="s">
        <v>89</v>
      </c>
    </row>
    <row r="17" spans="1:7" x14ac:dyDescent="0.3">
      <c r="A17" s="39">
        <v>23</v>
      </c>
      <c r="B17" s="39">
        <v>23</v>
      </c>
      <c r="C17" s="40" t="s">
        <v>101</v>
      </c>
      <c r="D17" s="40" t="s">
        <v>101</v>
      </c>
      <c r="E17" s="40" t="s">
        <v>88</v>
      </c>
      <c r="F17" s="41">
        <v>1</v>
      </c>
      <c r="G17" s="40" t="s">
        <v>89</v>
      </c>
    </row>
    <row r="18" spans="1:7" x14ac:dyDescent="0.3">
      <c r="A18" s="39">
        <v>24</v>
      </c>
      <c r="B18" s="39">
        <v>24</v>
      </c>
      <c r="C18" s="40" t="s">
        <v>102</v>
      </c>
      <c r="D18" s="40" t="s">
        <v>102</v>
      </c>
      <c r="E18" s="40" t="s">
        <v>88</v>
      </c>
      <c r="F18" s="41">
        <v>1</v>
      </c>
      <c r="G18" s="40" t="s">
        <v>89</v>
      </c>
    </row>
    <row r="19" spans="1:7" x14ac:dyDescent="0.3">
      <c r="A19" s="39">
        <v>25</v>
      </c>
      <c r="B19" s="39">
        <v>25</v>
      </c>
      <c r="C19" s="40" t="s">
        <v>103</v>
      </c>
      <c r="D19" s="40" t="s">
        <v>103</v>
      </c>
      <c r="E19" s="40" t="s">
        <v>88</v>
      </c>
      <c r="F19" s="41">
        <v>1</v>
      </c>
      <c r="G19" s="40" t="s">
        <v>89</v>
      </c>
    </row>
    <row r="20" spans="1:7" x14ac:dyDescent="0.3">
      <c r="A20" s="39">
        <v>26</v>
      </c>
      <c r="B20" s="39">
        <v>26</v>
      </c>
      <c r="C20" s="40" t="s">
        <v>104</v>
      </c>
      <c r="D20" s="40" t="s">
        <v>104</v>
      </c>
      <c r="E20" s="40" t="s">
        <v>88</v>
      </c>
      <c r="F20" s="41">
        <v>1</v>
      </c>
      <c r="G20" s="40" t="s">
        <v>89</v>
      </c>
    </row>
    <row r="21" spans="1:7" x14ac:dyDescent="0.3">
      <c r="A21" s="39">
        <v>27</v>
      </c>
      <c r="B21" s="39">
        <v>27</v>
      </c>
      <c r="C21" s="40" t="s">
        <v>105</v>
      </c>
      <c r="D21" s="40" t="s">
        <v>105</v>
      </c>
      <c r="E21" s="40" t="s">
        <v>88</v>
      </c>
      <c r="F21" s="41">
        <v>1</v>
      </c>
      <c r="G21" s="40" t="s">
        <v>89</v>
      </c>
    </row>
    <row r="22" spans="1:7" x14ac:dyDescent="0.3">
      <c r="A22" s="39">
        <v>28</v>
      </c>
      <c r="B22" s="39">
        <v>28</v>
      </c>
      <c r="C22" s="40" t="s">
        <v>106</v>
      </c>
      <c r="D22" s="40" t="s">
        <v>106</v>
      </c>
      <c r="E22" s="40" t="s">
        <v>88</v>
      </c>
      <c r="F22" s="41">
        <v>1</v>
      </c>
      <c r="G22" s="40" t="s">
        <v>89</v>
      </c>
    </row>
    <row r="23" spans="1:7" x14ac:dyDescent="0.3">
      <c r="A23" s="39">
        <v>29</v>
      </c>
      <c r="B23" s="39">
        <v>29</v>
      </c>
      <c r="C23" s="40" t="s">
        <v>107</v>
      </c>
      <c r="D23" s="40" t="s">
        <v>107</v>
      </c>
      <c r="E23" s="40" t="s">
        <v>88</v>
      </c>
      <c r="F23" s="41">
        <v>1</v>
      </c>
      <c r="G23" s="40" t="s">
        <v>89</v>
      </c>
    </row>
    <row r="24" spans="1:7" x14ac:dyDescent="0.3">
      <c r="A24" s="39">
        <v>30</v>
      </c>
      <c r="B24" s="39">
        <v>30</v>
      </c>
      <c r="C24" s="40" t="s">
        <v>108</v>
      </c>
      <c r="D24" s="40" t="s">
        <v>108</v>
      </c>
      <c r="E24" s="40" t="s">
        <v>88</v>
      </c>
      <c r="F24" s="41">
        <v>1</v>
      </c>
      <c r="G24" s="40" t="s">
        <v>89</v>
      </c>
    </row>
    <row r="25" spans="1:7" x14ac:dyDescent="0.3">
      <c r="A25" s="39">
        <v>31</v>
      </c>
      <c r="B25" s="39">
        <v>31</v>
      </c>
      <c r="C25" s="40" t="s">
        <v>109</v>
      </c>
      <c r="D25" s="40" t="s">
        <v>109</v>
      </c>
      <c r="E25" s="40" t="s">
        <v>88</v>
      </c>
      <c r="F25" s="41">
        <v>1</v>
      </c>
      <c r="G25" s="40" t="s">
        <v>89</v>
      </c>
    </row>
    <row r="26" spans="1:7" x14ac:dyDescent="0.3">
      <c r="A26" s="39">
        <v>32</v>
      </c>
      <c r="B26" s="39">
        <v>32</v>
      </c>
      <c r="C26" s="40" t="s">
        <v>110</v>
      </c>
      <c r="D26" s="40" t="s">
        <v>110</v>
      </c>
      <c r="E26" s="40" t="s">
        <v>88</v>
      </c>
      <c r="F26" s="41">
        <v>1</v>
      </c>
      <c r="G26" s="40" t="s">
        <v>89</v>
      </c>
    </row>
    <row r="27" spans="1:7" x14ac:dyDescent="0.3">
      <c r="A27" s="39">
        <v>33</v>
      </c>
      <c r="B27" s="39">
        <v>33</v>
      </c>
      <c r="C27" s="40" t="s">
        <v>111</v>
      </c>
      <c r="D27" s="40" t="s">
        <v>111</v>
      </c>
      <c r="E27" s="40" t="s">
        <v>88</v>
      </c>
      <c r="F27" s="41">
        <v>1</v>
      </c>
      <c r="G27" s="40" t="s">
        <v>89</v>
      </c>
    </row>
    <row r="28" spans="1:7" x14ac:dyDescent="0.3">
      <c r="A28" s="39">
        <v>34</v>
      </c>
      <c r="B28" s="39">
        <v>34</v>
      </c>
      <c r="C28" s="40" t="s">
        <v>112</v>
      </c>
      <c r="D28" s="40" t="s">
        <v>112</v>
      </c>
      <c r="E28" s="40" t="s">
        <v>88</v>
      </c>
      <c r="F28" s="41">
        <v>1</v>
      </c>
      <c r="G28" s="40" t="s">
        <v>89</v>
      </c>
    </row>
    <row r="29" spans="1:7" x14ac:dyDescent="0.3">
      <c r="A29" s="39">
        <v>35</v>
      </c>
      <c r="B29" s="39">
        <v>35</v>
      </c>
      <c r="C29" s="40" t="s">
        <v>113</v>
      </c>
      <c r="D29" s="40" t="s">
        <v>113</v>
      </c>
      <c r="E29" s="40" t="s">
        <v>88</v>
      </c>
      <c r="F29" s="41">
        <v>1</v>
      </c>
      <c r="G29" s="40" t="s">
        <v>89</v>
      </c>
    </row>
    <row r="30" spans="1:7" x14ac:dyDescent="0.3">
      <c r="A30" s="39">
        <v>36</v>
      </c>
      <c r="B30" s="39">
        <v>36</v>
      </c>
      <c r="C30" s="40" t="s">
        <v>114</v>
      </c>
      <c r="D30" s="40" t="s">
        <v>114</v>
      </c>
      <c r="E30" s="40" t="s">
        <v>88</v>
      </c>
      <c r="F30" s="41">
        <v>1</v>
      </c>
      <c r="G30" s="40" t="s">
        <v>89</v>
      </c>
    </row>
    <row r="31" spans="1:7" x14ac:dyDescent="0.3">
      <c r="A31" s="39">
        <v>37</v>
      </c>
      <c r="B31" s="39">
        <v>37</v>
      </c>
      <c r="C31" s="40" t="s">
        <v>115</v>
      </c>
      <c r="D31" s="40" t="s">
        <v>115</v>
      </c>
      <c r="E31" s="40" t="s">
        <v>88</v>
      </c>
      <c r="F31" s="41">
        <v>1</v>
      </c>
      <c r="G31" s="40" t="s">
        <v>89</v>
      </c>
    </row>
    <row r="32" spans="1:7" x14ac:dyDescent="0.3">
      <c r="A32" s="39">
        <v>582</v>
      </c>
      <c r="B32" s="39">
        <v>582</v>
      </c>
      <c r="C32" s="40" t="s">
        <v>116</v>
      </c>
      <c r="D32" s="40" t="s">
        <v>116</v>
      </c>
      <c r="E32" s="40" t="s">
        <v>88</v>
      </c>
      <c r="F32" s="41">
        <v>1</v>
      </c>
      <c r="G32" s="40" t="s">
        <v>89</v>
      </c>
    </row>
    <row r="33" spans="1:7" x14ac:dyDescent="0.3">
      <c r="A33" s="39">
        <v>39</v>
      </c>
      <c r="B33" s="39">
        <v>39</v>
      </c>
      <c r="C33" s="40" t="s">
        <v>117</v>
      </c>
      <c r="D33" s="40" t="s">
        <v>117</v>
      </c>
      <c r="E33" s="40" t="s">
        <v>88</v>
      </c>
      <c r="F33" s="41">
        <v>1</v>
      </c>
      <c r="G33" s="40" t="s">
        <v>89</v>
      </c>
    </row>
    <row r="34" spans="1:7" x14ac:dyDescent="0.3">
      <c r="A34" s="39">
        <v>40</v>
      </c>
      <c r="B34" s="39">
        <v>40</v>
      </c>
      <c r="C34" s="40" t="s">
        <v>118</v>
      </c>
      <c r="D34" s="40" t="s">
        <v>118</v>
      </c>
      <c r="E34" s="40" t="s">
        <v>88</v>
      </c>
      <c r="F34" s="41">
        <v>1</v>
      </c>
      <c r="G34" s="40" t="s">
        <v>89</v>
      </c>
    </row>
    <row r="35" spans="1:7" x14ac:dyDescent="0.3">
      <c r="A35" s="39">
        <v>41</v>
      </c>
      <c r="B35" s="39">
        <v>41</v>
      </c>
      <c r="C35" s="40" t="s">
        <v>119</v>
      </c>
      <c r="D35" s="40" t="s">
        <v>119</v>
      </c>
      <c r="E35" s="40" t="s">
        <v>88</v>
      </c>
      <c r="F35" s="41">
        <v>1</v>
      </c>
      <c r="G35" s="40" t="s">
        <v>89</v>
      </c>
    </row>
    <row r="36" spans="1:7" x14ac:dyDescent="0.3">
      <c r="A36" s="39">
        <v>42</v>
      </c>
      <c r="B36" s="39">
        <v>42</v>
      </c>
      <c r="C36" s="40" t="s">
        <v>120</v>
      </c>
      <c r="D36" s="40" t="s">
        <v>120</v>
      </c>
      <c r="E36" s="40" t="s">
        <v>88</v>
      </c>
      <c r="F36" s="41">
        <v>1</v>
      </c>
      <c r="G36" s="40" t="s">
        <v>89</v>
      </c>
    </row>
    <row r="37" spans="1:7" x14ac:dyDescent="0.3">
      <c r="A37" s="39">
        <v>43</v>
      </c>
      <c r="B37" s="39">
        <v>43</v>
      </c>
      <c r="C37" s="40" t="s">
        <v>121</v>
      </c>
      <c r="D37" s="40" t="s">
        <v>121</v>
      </c>
      <c r="E37" s="40" t="s">
        <v>88</v>
      </c>
      <c r="F37" s="41">
        <v>1</v>
      </c>
      <c r="G37" s="40" t="s">
        <v>89</v>
      </c>
    </row>
    <row r="38" spans="1:7" x14ac:dyDescent="0.3">
      <c r="A38" s="39">
        <v>44</v>
      </c>
      <c r="B38" s="39">
        <v>44</v>
      </c>
      <c r="C38" s="40" t="s">
        <v>122</v>
      </c>
      <c r="D38" s="40" t="s">
        <v>122</v>
      </c>
      <c r="E38" s="40" t="s">
        <v>88</v>
      </c>
      <c r="F38" s="41">
        <v>1</v>
      </c>
      <c r="G38" s="40" t="s">
        <v>89</v>
      </c>
    </row>
    <row r="39" spans="1:7" x14ac:dyDescent="0.3">
      <c r="A39" s="39">
        <v>45</v>
      </c>
      <c r="B39" s="39">
        <v>45</v>
      </c>
      <c r="C39" s="40" t="s">
        <v>123</v>
      </c>
      <c r="D39" s="40" t="s">
        <v>123</v>
      </c>
      <c r="E39" s="40" t="s">
        <v>88</v>
      </c>
      <c r="F39" s="41">
        <v>1</v>
      </c>
      <c r="G39" s="40" t="s">
        <v>89</v>
      </c>
    </row>
    <row r="40" spans="1:7" x14ac:dyDescent="0.3">
      <c r="A40" s="39">
        <v>46</v>
      </c>
      <c r="B40" s="39">
        <v>46</v>
      </c>
      <c r="C40" s="40" t="s">
        <v>124</v>
      </c>
      <c r="D40" s="40" t="s">
        <v>124</v>
      </c>
      <c r="E40" s="40" t="s">
        <v>88</v>
      </c>
      <c r="F40" s="41">
        <v>1</v>
      </c>
      <c r="G40" s="40" t="s">
        <v>89</v>
      </c>
    </row>
    <row r="41" spans="1:7" x14ac:dyDescent="0.3">
      <c r="A41" s="39">
        <v>47</v>
      </c>
      <c r="B41" s="39">
        <v>47</v>
      </c>
      <c r="C41" s="40" t="s">
        <v>125</v>
      </c>
      <c r="D41" s="40" t="s">
        <v>125</v>
      </c>
      <c r="E41" s="40" t="s">
        <v>88</v>
      </c>
      <c r="F41" s="41">
        <v>1</v>
      </c>
      <c r="G41" s="40" t="s">
        <v>89</v>
      </c>
    </row>
    <row r="42" spans="1:7" x14ac:dyDescent="0.3">
      <c r="A42" s="39">
        <v>48</v>
      </c>
      <c r="B42" s="39">
        <v>48</v>
      </c>
      <c r="C42" s="40" t="s">
        <v>126</v>
      </c>
      <c r="D42" s="40" t="s">
        <v>126</v>
      </c>
      <c r="E42" s="40" t="s">
        <v>88</v>
      </c>
      <c r="F42" s="41">
        <v>1</v>
      </c>
      <c r="G42" s="40" t="s">
        <v>89</v>
      </c>
    </row>
    <row r="43" spans="1:7" x14ac:dyDescent="0.3">
      <c r="A43" s="39">
        <v>49</v>
      </c>
      <c r="B43" s="39">
        <v>49</v>
      </c>
      <c r="C43" s="40" t="s">
        <v>127</v>
      </c>
      <c r="D43" s="40" t="s">
        <v>127</v>
      </c>
      <c r="E43" s="40" t="s">
        <v>88</v>
      </c>
      <c r="F43" s="41">
        <v>1</v>
      </c>
      <c r="G43" s="40" t="s">
        <v>89</v>
      </c>
    </row>
    <row r="44" spans="1:7" x14ac:dyDescent="0.3">
      <c r="A44" s="39">
        <v>50</v>
      </c>
      <c r="B44" s="39">
        <v>50</v>
      </c>
      <c r="C44" s="40" t="s">
        <v>128</v>
      </c>
      <c r="D44" s="40" t="s">
        <v>128</v>
      </c>
      <c r="E44" s="40" t="s">
        <v>88</v>
      </c>
      <c r="F44" s="41">
        <v>1</v>
      </c>
      <c r="G44" s="40" t="s">
        <v>89</v>
      </c>
    </row>
    <row r="45" spans="1:7" x14ac:dyDescent="0.3">
      <c r="A45" s="39">
        <v>51</v>
      </c>
      <c r="B45" s="39">
        <v>51</v>
      </c>
      <c r="C45" s="40" t="s">
        <v>129</v>
      </c>
      <c r="D45" s="40" t="s">
        <v>129</v>
      </c>
      <c r="E45" s="40" t="s">
        <v>88</v>
      </c>
      <c r="F45" s="41">
        <v>1</v>
      </c>
      <c r="G45" s="40" t="s">
        <v>89</v>
      </c>
    </row>
    <row r="46" spans="1:7" x14ac:dyDescent="0.3">
      <c r="A46" s="39">
        <v>52</v>
      </c>
      <c r="B46" s="39">
        <v>52</v>
      </c>
      <c r="C46" s="40" t="s">
        <v>130</v>
      </c>
      <c r="D46" s="40" t="s">
        <v>130</v>
      </c>
      <c r="E46" s="40" t="s">
        <v>88</v>
      </c>
      <c r="F46" s="41">
        <v>1</v>
      </c>
      <c r="G46" s="40" t="s">
        <v>89</v>
      </c>
    </row>
    <row r="47" spans="1:7" x14ac:dyDescent="0.3">
      <c r="A47" s="39">
        <v>53</v>
      </c>
      <c r="B47" s="39">
        <v>53</v>
      </c>
      <c r="C47" s="40" t="s">
        <v>131</v>
      </c>
      <c r="D47" s="40" t="s">
        <v>131</v>
      </c>
      <c r="E47" s="40" t="s">
        <v>88</v>
      </c>
      <c r="F47" s="41">
        <v>1</v>
      </c>
      <c r="G47" s="40" t="s">
        <v>89</v>
      </c>
    </row>
    <row r="48" spans="1:7" x14ac:dyDescent="0.3">
      <c r="A48" s="39">
        <v>54</v>
      </c>
      <c r="B48" s="39">
        <v>54</v>
      </c>
      <c r="C48" s="40" t="s">
        <v>132</v>
      </c>
      <c r="D48" s="40" t="s">
        <v>132</v>
      </c>
      <c r="E48" s="40" t="s">
        <v>88</v>
      </c>
      <c r="F48" s="41">
        <v>1</v>
      </c>
      <c r="G48" s="40" t="s">
        <v>89</v>
      </c>
    </row>
    <row r="49" spans="1:7" x14ac:dyDescent="0.3">
      <c r="A49" s="39">
        <v>55</v>
      </c>
      <c r="B49" s="39">
        <v>55</v>
      </c>
      <c r="C49" s="40" t="s">
        <v>133</v>
      </c>
      <c r="D49" s="40" t="s">
        <v>133</v>
      </c>
      <c r="E49" s="40" t="s">
        <v>88</v>
      </c>
      <c r="F49" s="41">
        <v>1</v>
      </c>
      <c r="G49" s="40" t="s">
        <v>89</v>
      </c>
    </row>
    <row r="50" spans="1:7" x14ac:dyDescent="0.3">
      <c r="A50" s="39">
        <v>56</v>
      </c>
      <c r="B50" s="39">
        <v>56</v>
      </c>
      <c r="C50" s="40" t="s">
        <v>134</v>
      </c>
      <c r="D50" s="40" t="s">
        <v>134</v>
      </c>
      <c r="E50" s="40" t="s">
        <v>88</v>
      </c>
      <c r="F50" s="41">
        <v>1</v>
      </c>
      <c r="G50" s="40" t="s">
        <v>89</v>
      </c>
    </row>
    <row r="51" spans="1:7" x14ac:dyDescent="0.3">
      <c r="A51" s="39">
        <v>594</v>
      </c>
      <c r="B51" s="39">
        <v>594</v>
      </c>
      <c r="C51" s="40" t="s">
        <v>135</v>
      </c>
      <c r="D51" s="40" t="s">
        <v>135</v>
      </c>
      <c r="E51" s="40" t="s">
        <v>88</v>
      </c>
      <c r="F51" s="41">
        <v>1</v>
      </c>
      <c r="G51" s="40" t="s">
        <v>89</v>
      </c>
    </row>
    <row r="52" spans="1:7" x14ac:dyDescent="0.3">
      <c r="A52" s="39">
        <v>58</v>
      </c>
      <c r="B52" s="39">
        <v>58</v>
      </c>
      <c r="C52" s="40" t="s">
        <v>136</v>
      </c>
      <c r="D52" s="40" t="s">
        <v>136</v>
      </c>
      <c r="E52" s="40" t="s">
        <v>88</v>
      </c>
      <c r="F52" s="41">
        <v>1</v>
      </c>
      <c r="G52" s="40" t="s">
        <v>89</v>
      </c>
    </row>
    <row r="53" spans="1:7" x14ac:dyDescent="0.3">
      <c r="A53" s="39">
        <v>59</v>
      </c>
      <c r="B53" s="39">
        <v>59</v>
      </c>
      <c r="C53" s="40" t="s">
        <v>137</v>
      </c>
      <c r="D53" s="40" t="s">
        <v>137</v>
      </c>
      <c r="E53" s="40" t="s">
        <v>88</v>
      </c>
      <c r="F53" s="41">
        <v>1</v>
      </c>
      <c r="G53" s="40" t="s">
        <v>89</v>
      </c>
    </row>
    <row r="54" spans="1:7" x14ac:dyDescent="0.3">
      <c r="A54" s="39">
        <v>60</v>
      </c>
      <c r="B54" s="39">
        <v>60</v>
      </c>
      <c r="C54" s="40" t="s">
        <v>138</v>
      </c>
      <c r="D54" s="40" t="s">
        <v>138</v>
      </c>
      <c r="E54" s="40" t="s">
        <v>88</v>
      </c>
      <c r="F54" s="41">
        <v>1</v>
      </c>
      <c r="G54" s="40" t="s">
        <v>89</v>
      </c>
    </row>
    <row r="55" spans="1:7" x14ac:dyDescent="0.3">
      <c r="A55" s="39">
        <v>61</v>
      </c>
      <c r="B55" s="39">
        <v>61</v>
      </c>
      <c r="C55" s="40" t="s">
        <v>139</v>
      </c>
      <c r="D55" s="40" t="s">
        <v>139</v>
      </c>
      <c r="E55" s="40" t="s">
        <v>88</v>
      </c>
      <c r="F55" s="41">
        <v>1</v>
      </c>
      <c r="G55" s="40" t="s">
        <v>89</v>
      </c>
    </row>
    <row r="56" spans="1:7" x14ac:dyDescent="0.3">
      <c r="A56" s="39">
        <v>62</v>
      </c>
      <c r="B56" s="39">
        <v>62</v>
      </c>
      <c r="C56" s="40" t="s">
        <v>140</v>
      </c>
      <c r="D56" s="40" t="s">
        <v>140</v>
      </c>
      <c r="E56" s="40" t="s">
        <v>88</v>
      </c>
      <c r="F56" s="41">
        <v>1</v>
      </c>
      <c r="G56" s="40" t="s">
        <v>89</v>
      </c>
    </row>
    <row r="57" spans="1:7" x14ac:dyDescent="0.3">
      <c r="A57" s="39">
        <v>63</v>
      </c>
      <c r="B57" s="39">
        <v>63</v>
      </c>
      <c r="C57" s="40" t="s">
        <v>141</v>
      </c>
      <c r="D57" s="40" t="s">
        <v>141</v>
      </c>
      <c r="E57" s="40" t="s">
        <v>88</v>
      </c>
      <c r="F57" s="41">
        <v>1</v>
      </c>
      <c r="G57" s="40" t="s">
        <v>89</v>
      </c>
    </row>
    <row r="58" spans="1:7" x14ac:dyDescent="0.3">
      <c r="A58" s="39">
        <v>64</v>
      </c>
      <c r="B58" s="39">
        <v>64</v>
      </c>
      <c r="C58" s="40" t="s">
        <v>142</v>
      </c>
      <c r="D58" s="40" t="s">
        <v>142</v>
      </c>
      <c r="E58" s="40" t="s">
        <v>88</v>
      </c>
      <c r="F58" s="41">
        <v>1</v>
      </c>
      <c r="G58" s="40" t="s">
        <v>89</v>
      </c>
    </row>
    <row r="59" spans="1:7" x14ac:dyDescent="0.3">
      <c r="A59" s="39">
        <v>65</v>
      </c>
      <c r="B59" s="39">
        <v>65</v>
      </c>
      <c r="C59" s="40" t="s">
        <v>143</v>
      </c>
      <c r="D59" s="40" t="s">
        <v>143</v>
      </c>
      <c r="E59" s="40" t="s">
        <v>88</v>
      </c>
      <c r="F59" s="41">
        <v>1</v>
      </c>
      <c r="G59" s="40" t="s">
        <v>89</v>
      </c>
    </row>
    <row r="60" spans="1:7" x14ac:dyDescent="0.3">
      <c r="A60" s="39">
        <v>66</v>
      </c>
      <c r="B60" s="39">
        <v>66</v>
      </c>
      <c r="C60" s="40" t="s">
        <v>144</v>
      </c>
      <c r="D60" s="40" t="s">
        <v>144</v>
      </c>
      <c r="E60" s="40" t="s">
        <v>88</v>
      </c>
      <c r="F60" s="41">
        <v>1</v>
      </c>
      <c r="G60" s="40" t="s">
        <v>89</v>
      </c>
    </row>
    <row r="61" spans="1:7" x14ac:dyDescent="0.3">
      <c r="A61" s="39">
        <v>67</v>
      </c>
      <c r="B61" s="39">
        <v>67</v>
      </c>
      <c r="C61" s="40" t="s">
        <v>145</v>
      </c>
      <c r="D61" s="40" t="s">
        <v>145</v>
      </c>
      <c r="E61" s="40" t="s">
        <v>88</v>
      </c>
      <c r="F61" s="41">
        <v>1</v>
      </c>
      <c r="G61" s="40" t="s">
        <v>89</v>
      </c>
    </row>
    <row r="62" spans="1:7" x14ac:dyDescent="0.3">
      <c r="A62" s="39">
        <v>68</v>
      </c>
      <c r="B62" s="39">
        <v>68</v>
      </c>
      <c r="C62" s="40" t="s">
        <v>146</v>
      </c>
      <c r="D62" s="40" t="s">
        <v>146</v>
      </c>
      <c r="E62" s="40" t="s">
        <v>88</v>
      </c>
      <c r="F62" s="41">
        <v>1</v>
      </c>
      <c r="G62" s="40" t="s">
        <v>89</v>
      </c>
    </row>
    <row r="63" spans="1:7" x14ac:dyDescent="0.3">
      <c r="A63" s="39">
        <v>69</v>
      </c>
      <c r="B63" s="39">
        <v>69</v>
      </c>
      <c r="C63" s="40" t="s">
        <v>147</v>
      </c>
      <c r="D63" s="40" t="s">
        <v>147</v>
      </c>
      <c r="E63" s="40" t="s">
        <v>88</v>
      </c>
      <c r="F63" s="41">
        <v>1</v>
      </c>
      <c r="G63" s="40" t="s">
        <v>89</v>
      </c>
    </row>
    <row r="64" spans="1:7" x14ac:dyDescent="0.3">
      <c r="A64" s="39">
        <v>70</v>
      </c>
      <c r="B64" s="39">
        <v>70</v>
      </c>
      <c r="C64" s="40" t="s">
        <v>148</v>
      </c>
      <c r="D64" s="40" t="s">
        <v>148</v>
      </c>
      <c r="E64" s="40" t="s">
        <v>88</v>
      </c>
      <c r="F64" s="41">
        <v>1</v>
      </c>
      <c r="G64" s="40" t="s">
        <v>89</v>
      </c>
    </row>
    <row r="65" spans="1:7" x14ac:dyDescent="0.3">
      <c r="A65" s="39">
        <v>71</v>
      </c>
      <c r="B65" s="39">
        <v>71</v>
      </c>
      <c r="C65" s="40" t="s">
        <v>149</v>
      </c>
      <c r="D65" s="40" t="s">
        <v>149</v>
      </c>
      <c r="E65" s="40" t="s">
        <v>88</v>
      </c>
      <c r="F65" s="41">
        <v>1</v>
      </c>
      <c r="G65" s="40" t="s">
        <v>89</v>
      </c>
    </row>
    <row r="66" spans="1:7" x14ac:dyDescent="0.3">
      <c r="A66" s="39">
        <v>72</v>
      </c>
      <c r="B66" s="39">
        <v>72</v>
      </c>
      <c r="C66" s="40" t="s">
        <v>150</v>
      </c>
      <c r="D66" s="40" t="s">
        <v>150</v>
      </c>
      <c r="E66" s="40" t="s">
        <v>88</v>
      </c>
      <c r="F66" s="41">
        <v>1</v>
      </c>
      <c r="G66" s="40" t="s">
        <v>89</v>
      </c>
    </row>
    <row r="67" spans="1:7" x14ac:dyDescent="0.3">
      <c r="A67" s="39">
        <v>73</v>
      </c>
      <c r="B67" s="39">
        <v>73</v>
      </c>
      <c r="C67" s="40" t="s">
        <v>151</v>
      </c>
      <c r="D67" s="40" t="s">
        <v>151</v>
      </c>
      <c r="E67" s="40" t="s">
        <v>88</v>
      </c>
      <c r="F67" s="41">
        <v>1</v>
      </c>
      <c r="G67" s="40" t="s">
        <v>89</v>
      </c>
    </row>
    <row r="68" spans="1:7" x14ac:dyDescent="0.3">
      <c r="A68" s="39">
        <v>74</v>
      </c>
      <c r="B68" s="39">
        <v>74</v>
      </c>
      <c r="C68" s="40" t="s">
        <v>152</v>
      </c>
      <c r="D68" s="40" t="s">
        <v>152</v>
      </c>
      <c r="E68" s="40" t="s">
        <v>88</v>
      </c>
      <c r="F68" s="41">
        <v>1</v>
      </c>
      <c r="G68" s="40" t="s">
        <v>89</v>
      </c>
    </row>
    <row r="69" spans="1:7" x14ac:dyDescent="0.3">
      <c r="A69" s="39">
        <v>75</v>
      </c>
      <c r="B69" s="39">
        <v>75</v>
      </c>
      <c r="C69" s="40" t="s">
        <v>153</v>
      </c>
      <c r="D69" s="40" t="s">
        <v>153</v>
      </c>
      <c r="E69" s="40" t="s">
        <v>88</v>
      </c>
      <c r="F69" s="41">
        <v>1</v>
      </c>
      <c r="G69" s="40" t="s">
        <v>89</v>
      </c>
    </row>
    <row r="70" spans="1:7" x14ac:dyDescent="0.3">
      <c r="A70" s="39">
        <v>76</v>
      </c>
      <c r="B70" s="39">
        <v>76</v>
      </c>
      <c r="C70" s="40" t="s">
        <v>154</v>
      </c>
      <c r="D70" s="40" t="s">
        <v>154</v>
      </c>
      <c r="E70" s="40" t="s">
        <v>88</v>
      </c>
      <c r="F70" s="41">
        <v>1</v>
      </c>
      <c r="G70" s="40" t="s">
        <v>89</v>
      </c>
    </row>
    <row r="71" spans="1:7" x14ac:dyDescent="0.3">
      <c r="A71" s="39">
        <v>77</v>
      </c>
      <c r="B71" s="39">
        <v>77</v>
      </c>
      <c r="C71" s="40" t="s">
        <v>155</v>
      </c>
      <c r="D71" s="40" t="s">
        <v>155</v>
      </c>
      <c r="E71" s="40" t="s">
        <v>88</v>
      </c>
      <c r="F71" s="41">
        <v>1</v>
      </c>
      <c r="G71" s="40" t="s">
        <v>89</v>
      </c>
    </row>
    <row r="72" spans="1:7" x14ac:dyDescent="0.3">
      <c r="A72" s="39">
        <v>78</v>
      </c>
      <c r="B72" s="39">
        <v>78</v>
      </c>
      <c r="C72" s="40" t="s">
        <v>156</v>
      </c>
      <c r="D72" s="40" t="s">
        <v>156</v>
      </c>
      <c r="E72" s="40" t="s">
        <v>88</v>
      </c>
      <c r="F72" s="41">
        <v>1</v>
      </c>
      <c r="G72" s="40" t="s">
        <v>89</v>
      </c>
    </row>
    <row r="73" spans="1:7" x14ac:dyDescent="0.3">
      <c r="A73" s="39">
        <v>79</v>
      </c>
      <c r="B73" s="39">
        <v>79</v>
      </c>
      <c r="C73" s="40" t="s">
        <v>157</v>
      </c>
      <c r="D73" s="40" t="s">
        <v>157</v>
      </c>
      <c r="E73" s="40" t="s">
        <v>88</v>
      </c>
      <c r="F73" s="41">
        <v>1</v>
      </c>
      <c r="G73" s="40" t="s">
        <v>89</v>
      </c>
    </row>
    <row r="74" spans="1:7" x14ac:dyDescent="0.3">
      <c r="A74" s="39">
        <v>80</v>
      </c>
      <c r="B74" s="39">
        <v>80</v>
      </c>
      <c r="C74" s="40" t="s">
        <v>158</v>
      </c>
      <c r="D74" s="40" t="s">
        <v>158</v>
      </c>
      <c r="E74" s="40" t="s">
        <v>88</v>
      </c>
      <c r="F74" s="41">
        <v>1</v>
      </c>
      <c r="G74" s="40" t="s">
        <v>89</v>
      </c>
    </row>
    <row r="75" spans="1:7" x14ac:dyDescent="0.3">
      <c r="A75" s="39">
        <v>81</v>
      </c>
      <c r="B75" s="39">
        <v>81</v>
      </c>
      <c r="C75" s="40" t="s">
        <v>159</v>
      </c>
      <c r="D75" s="40" t="s">
        <v>159</v>
      </c>
      <c r="E75" s="40" t="s">
        <v>88</v>
      </c>
      <c r="F75" s="41">
        <v>1</v>
      </c>
      <c r="G75" s="40" t="s">
        <v>89</v>
      </c>
    </row>
    <row r="76" spans="1:7" x14ac:dyDescent="0.3">
      <c r="A76" s="39">
        <v>82</v>
      </c>
      <c r="B76" s="39">
        <v>82</v>
      </c>
      <c r="C76" s="40" t="s">
        <v>160</v>
      </c>
      <c r="D76" s="40" t="s">
        <v>160</v>
      </c>
      <c r="E76" s="40" t="s">
        <v>88</v>
      </c>
      <c r="F76" s="41">
        <v>1</v>
      </c>
      <c r="G76" s="40" t="s">
        <v>89</v>
      </c>
    </row>
    <row r="77" spans="1:7" x14ac:dyDescent="0.3">
      <c r="A77" s="39">
        <v>83</v>
      </c>
      <c r="B77" s="39">
        <v>83</v>
      </c>
      <c r="C77" s="40" t="s">
        <v>161</v>
      </c>
      <c r="D77" s="40" t="s">
        <v>161</v>
      </c>
      <c r="E77" s="40" t="s">
        <v>88</v>
      </c>
      <c r="F77" s="41">
        <v>1</v>
      </c>
      <c r="G77" s="40" t="s">
        <v>89</v>
      </c>
    </row>
    <row r="78" spans="1:7" x14ac:dyDescent="0.3">
      <c r="A78" s="39">
        <v>84</v>
      </c>
      <c r="B78" s="39">
        <v>84</v>
      </c>
      <c r="C78" s="40" t="s">
        <v>162</v>
      </c>
      <c r="D78" s="40" t="s">
        <v>162</v>
      </c>
      <c r="E78" s="40" t="s">
        <v>88</v>
      </c>
      <c r="F78" s="41">
        <v>1</v>
      </c>
      <c r="G78" s="40" t="s">
        <v>89</v>
      </c>
    </row>
    <row r="79" spans="1:7" x14ac:dyDescent="0.3">
      <c r="A79" s="39">
        <v>85</v>
      </c>
      <c r="B79" s="39">
        <v>85</v>
      </c>
      <c r="C79" s="40" t="s">
        <v>163</v>
      </c>
      <c r="D79" s="40" t="s">
        <v>163</v>
      </c>
      <c r="E79" s="40" t="s">
        <v>88</v>
      </c>
      <c r="F79" s="41">
        <v>1</v>
      </c>
      <c r="G79" s="40" t="s">
        <v>89</v>
      </c>
    </row>
    <row r="80" spans="1:7" x14ac:dyDescent="0.3">
      <c r="A80" s="39">
        <v>86</v>
      </c>
      <c r="B80" s="39">
        <v>86</v>
      </c>
      <c r="C80" s="40" t="s">
        <v>164</v>
      </c>
      <c r="D80" s="40" t="s">
        <v>164</v>
      </c>
      <c r="E80" s="40" t="s">
        <v>88</v>
      </c>
      <c r="F80" s="41">
        <v>1</v>
      </c>
      <c r="G80" s="40" t="s">
        <v>89</v>
      </c>
    </row>
    <row r="81" spans="1:7" x14ac:dyDescent="0.3">
      <c r="A81" s="39">
        <v>87</v>
      </c>
      <c r="B81" s="39">
        <v>87</v>
      </c>
      <c r="C81" s="40" t="s">
        <v>165</v>
      </c>
      <c r="D81" s="40" t="s">
        <v>165</v>
      </c>
      <c r="E81" s="40" t="s">
        <v>88</v>
      </c>
      <c r="F81" s="41">
        <v>1</v>
      </c>
      <c r="G81" s="40" t="s">
        <v>89</v>
      </c>
    </row>
    <row r="82" spans="1:7" x14ac:dyDescent="0.3">
      <c r="A82" s="39">
        <v>88</v>
      </c>
      <c r="B82" s="39">
        <v>88</v>
      </c>
      <c r="C82" s="40" t="s">
        <v>166</v>
      </c>
      <c r="D82" s="40" t="s">
        <v>166</v>
      </c>
      <c r="E82" s="40" t="s">
        <v>88</v>
      </c>
      <c r="F82" s="41">
        <v>1</v>
      </c>
      <c r="G82" s="40" t="s">
        <v>89</v>
      </c>
    </row>
    <row r="83" spans="1:7" x14ac:dyDescent="0.3">
      <c r="A83" s="39">
        <v>89</v>
      </c>
      <c r="B83" s="39">
        <v>89</v>
      </c>
      <c r="C83" s="40" t="s">
        <v>167</v>
      </c>
      <c r="D83" s="40" t="s">
        <v>167</v>
      </c>
      <c r="E83" s="40" t="s">
        <v>88</v>
      </c>
      <c r="F83" s="41">
        <v>1</v>
      </c>
      <c r="G83" s="40" t="s">
        <v>89</v>
      </c>
    </row>
    <row r="84" spans="1:7" x14ac:dyDescent="0.3">
      <c r="A84" s="39">
        <v>90</v>
      </c>
      <c r="B84" s="39">
        <v>90</v>
      </c>
      <c r="C84" s="40" t="s">
        <v>168</v>
      </c>
      <c r="D84" s="40" t="s">
        <v>168</v>
      </c>
      <c r="E84" s="40" t="s">
        <v>88</v>
      </c>
      <c r="F84" s="41">
        <v>1</v>
      </c>
      <c r="G84" s="40" t="s">
        <v>89</v>
      </c>
    </row>
    <row r="85" spans="1:7" x14ac:dyDescent="0.3">
      <c r="A85" s="39">
        <v>639</v>
      </c>
      <c r="B85" s="39">
        <v>639</v>
      </c>
      <c r="C85" s="40" t="s">
        <v>169</v>
      </c>
      <c r="D85" s="40" t="s">
        <v>169</v>
      </c>
      <c r="E85" s="40" t="s">
        <v>88</v>
      </c>
      <c r="F85" s="41">
        <v>1</v>
      </c>
      <c r="G85" s="40" t="s">
        <v>89</v>
      </c>
    </row>
    <row r="86" spans="1:7" x14ac:dyDescent="0.3">
      <c r="A86" s="39">
        <v>92</v>
      </c>
      <c r="B86" s="39">
        <v>92</v>
      </c>
      <c r="C86" s="40" t="s">
        <v>170</v>
      </c>
      <c r="D86" s="40" t="s">
        <v>170</v>
      </c>
      <c r="E86" s="40" t="s">
        <v>88</v>
      </c>
      <c r="F86" s="41">
        <v>1</v>
      </c>
      <c r="G86" s="40" t="s">
        <v>89</v>
      </c>
    </row>
    <row r="87" spans="1:7" x14ac:dyDescent="0.3">
      <c r="A87" s="39">
        <v>93</v>
      </c>
      <c r="B87" s="39">
        <v>93</v>
      </c>
      <c r="C87" s="40" t="s">
        <v>171</v>
      </c>
      <c r="D87" s="40" t="s">
        <v>171</v>
      </c>
      <c r="E87" s="40" t="s">
        <v>88</v>
      </c>
      <c r="F87" s="41">
        <v>1</v>
      </c>
      <c r="G87" s="40" t="s">
        <v>89</v>
      </c>
    </row>
    <row r="88" spans="1:7" x14ac:dyDescent="0.3">
      <c r="A88" s="39">
        <v>94</v>
      </c>
      <c r="B88" s="39">
        <v>94</v>
      </c>
      <c r="C88" s="40" t="s">
        <v>172</v>
      </c>
      <c r="D88" s="40" t="s">
        <v>172</v>
      </c>
      <c r="E88" s="40" t="s">
        <v>88</v>
      </c>
      <c r="F88" s="41">
        <v>1</v>
      </c>
      <c r="G88" s="40" t="s">
        <v>89</v>
      </c>
    </row>
    <row r="89" spans="1:7" x14ac:dyDescent="0.3">
      <c r="A89" s="39">
        <v>95</v>
      </c>
      <c r="B89" s="39">
        <v>95</v>
      </c>
      <c r="C89" s="40" t="s">
        <v>173</v>
      </c>
      <c r="D89" s="40" t="s">
        <v>173</v>
      </c>
      <c r="E89" s="40" t="s">
        <v>88</v>
      </c>
      <c r="F89" s="41">
        <v>1</v>
      </c>
      <c r="G89" s="40" t="s">
        <v>89</v>
      </c>
    </row>
    <row r="90" spans="1:7" x14ac:dyDescent="0.3">
      <c r="A90" s="39">
        <v>96</v>
      </c>
      <c r="B90" s="39">
        <v>96</v>
      </c>
      <c r="C90" s="40" t="s">
        <v>174</v>
      </c>
      <c r="D90" s="40" t="s">
        <v>174</v>
      </c>
      <c r="E90" s="40" t="s">
        <v>88</v>
      </c>
      <c r="F90" s="41">
        <v>1</v>
      </c>
      <c r="G90" s="40" t="s">
        <v>89</v>
      </c>
    </row>
    <row r="91" spans="1:7" x14ac:dyDescent="0.3">
      <c r="A91" s="39">
        <v>97</v>
      </c>
      <c r="B91" s="39">
        <v>97</v>
      </c>
      <c r="C91" s="40" t="s">
        <v>175</v>
      </c>
      <c r="D91" s="40" t="s">
        <v>175</v>
      </c>
      <c r="E91" s="40" t="s">
        <v>88</v>
      </c>
      <c r="F91" s="41">
        <v>1</v>
      </c>
      <c r="G91" s="40" t="s">
        <v>89</v>
      </c>
    </row>
    <row r="92" spans="1:7" x14ac:dyDescent="0.3">
      <c r="A92" s="39">
        <v>98</v>
      </c>
      <c r="B92" s="39">
        <v>98</v>
      </c>
      <c r="C92" s="40" t="s">
        <v>176</v>
      </c>
      <c r="D92" s="40" t="s">
        <v>176</v>
      </c>
      <c r="E92" s="40" t="s">
        <v>88</v>
      </c>
      <c r="F92" s="41">
        <v>1</v>
      </c>
      <c r="G92" s="40" t="s">
        <v>89</v>
      </c>
    </row>
    <row r="93" spans="1:7" x14ac:dyDescent="0.3">
      <c r="A93" s="39">
        <v>99</v>
      </c>
      <c r="B93" s="39">
        <v>99</v>
      </c>
      <c r="C93" s="40" t="s">
        <v>177</v>
      </c>
      <c r="D93" s="40" t="s">
        <v>177</v>
      </c>
      <c r="E93" s="40" t="s">
        <v>88</v>
      </c>
      <c r="F93" s="41">
        <v>1</v>
      </c>
      <c r="G93" s="40" t="s">
        <v>89</v>
      </c>
    </row>
    <row r="94" spans="1:7" x14ac:dyDescent="0.3">
      <c r="A94" s="39">
        <v>100</v>
      </c>
      <c r="B94" s="39">
        <v>100</v>
      </c>
      <c r="C94" s="40" t="s">
        <v>178</v>
      </c>
      <c r="D94" s="40" t="s">
        <v>178</v>
      </c>
      <c r="E94" s="40" t="s">
        <v>88</v>
      </c>
      <c r="F94" s="41">
        <v>1</v>
      </c>
      <c r="G94" s="40" t="s">
        <v>89</v>
      </c>
    </row>
    <row r="95" spans="1:7" x14ac:dyDescent="0.3">
      <c r="A95" s="39">
        <v>101</v>
      </c>
      <c r="B95" s="39">
        <v>101</v>
      </c>
      <c r="C95" s="40" t="s">
        <v>179</v>
      </c>
      <c r="D95" s="40" t="s">
        <v>179</v>
      </c>
      <c r="E95" s="40" t="s">
        <v>88</v>
      </c>
      <c r="F95" s="41">
        <v>1</v>
      </c>
      <c r="G95" s="40" t="s">
        <v>89</v>
      </c>
    </row>
    <row r="96" spans="1:7" x14ac:dyDescent="0.3">
      <c r="A96" s="39">
        <v>102</v>
      </c>
      <c r="B96" s="39">
        <v>102</v>
      </c>
      <c r="C96" s="40" t="s">
        <v>180</v>
      </c>
      <c r="D96" s="40" t="s">
        <v>180</v>
      </c>
      <c r="E96" s="40" t="s">
        <v>88</v>
      </c>
      <c r="F96" s="41">
        <v>1</v>
      </c>
      <c r="G96" s="40" t="s">
        <v>89</v>
      </c>
    </row>
    <row r="97" spans="1:7" x14ac:dyDescent="0.3">
      <c r="A97" s="39">
        <v>103</v>
      </c>
      <c r="B97" s="39">
        <v>103</v>
      </c>
      <c r="C97" s="40" t="s">
        <v>181</v>
      </c>
      <c r="D97" s="40" t="s">
        <v>181</v>
      </c>
      <c r="E97" s="40" t="s">
        <v>88</v>
      </c>
      <c r="F97" s="41">
        <v>1</v>
      </c>
      <c r="G97" s="40" t="s">
        <v>89</v>
      </c>
    </row>
    <row r="98" spans="1:7" x14ac:dyDescent="0.3">
      <c r="A98" s="39">
        <v>104</v>
      </c>
      <c r="B98" s="39">
        <v>104</v>
      </c>
      <c r="C98" s="40" t="s">
        <v>182</v>
      </c>
      <c r="D98" s="40" t="s">
        <v>182</v>
      </c>
      <c r="E98" s="40" t="s">
        <v>88</v>
      </c>
      <c r="F98" s="41">
        <v>1</v>
      </c>
      <c r="G98" s="40" t="s">
        <v>89</v>
      </c>
    </row>
    <row r="99" spans="1:7" x14ac:dyDescent="0.3">
      <c r="A99" s="39">
        <v>105</v>
      </c>
      <c r="B99" s="39">
        <v>105</v>
      </c>
      <c r="C99" s="40" t="s">
        <v>183</v>
      </c>
      <c r="D99" s="40" t="s">
        <v>183</v>
      </c>
      <c r="E99" s="40" t="s">
        <v>88</v>
      </c>
      <c r="F99" s="41">
        <v>1</v>
      </c>
      <c r="G99" s="40" t="s">
        <v>89</v>
      </c>
    </row>
    <row r="100" spans="1:7" x14ac:dyDescent="0.3">
      <c r="A100" s="39">
        <v>106</v>
      </c>
      <c r="B100" s="39">
        <v>106</v>
      </c>
      <c r="C100" s="40" t="s">
        <v>184</v>
      </c>
      <c r="D100" s="40" t="s">
        <v>184</v>
      </c>
      <c r="E100" s="40" t="s">
        <v>88</v>
      </c>
      <c r="F100" s="41">
        <v>1</v>
      </c>
      <c r="G100" s="40" t="s">
        <v>89</v>
      </c>
    </row>
    <row r="101" spans="1:7" x14ac:dyDescent="0.3">
      <c r="A101" s="39">
        <v>107</v>
      </c>
      <c r="B101" s="39">
        <v>107</v>
      </c>
      <c r="C101" s="40" t="s">
        <v>185</v>
      </c>
      <c r="D101" s="40" t="s">
        <v>185</v>
      </c>
      <c r="E101" s="40" t="s">
        <v>88</v>
      </c>
      <c r="F101" s="41">
        <v>1</v>
      </c>
      <c r="G101" s="40" t="s">
        <v>89</v>
      </c>
    </row>
    <row r="102" spans="1:7" x14ac:dyDescent="0.3">
      <c r="A102" s="39">
        <v>108</v>
      </c>
      <c r="B102" s="39">
        <v>108</v>
      </c>
      <c r="C102" s="40" t="s">
        <v>186</v>
      </c>
      <c r="D102" s="40" t="s">
        <v>186</v>
      </c>
      <c r="E102" s="40" t="s">
        <v>88</v>
      </c>
      <c r="F102" s="41">
        <v>1</v>
      </c>
      <c r="G102" s="40" t="s">
        <v>89</v>
      </c>
    </row>
    <row r="103" spans="1:7" x14ac:dyDescent="0.3">
      <c r="A103" s="39">
        <v>109</v>
      </c>
      <c r="B103" s="39">
        <v>109</v>
      </c>
      <c r="C103" s="40" t="s">
        <v>187</v>
      </c>
      <c r="D103" s="40" t="s">
        <v>187</v>
      </c>
      <c r="E103" s="40" t="s">
        <v>88</v>
      </c>
      <c r="F103" s="41">
        <v>1</v>
      </c>
      <c r="G103" s="40" t="s">
        <v>89</v>
      </c>
    </row>
    <row r="104" spans="1:7" x14ac:dyDescent="0.3">
      <c r="A104" s="39">
        <v>110</v>
      </c>
      <c r="B104" s="39">
        <v>110</v>
      </c>
      <c r="C104" s="40" t="s">
        <v>188</v>
      </c>
      <c r="D104" s="40" t="s">
        <v>188</v>
      </c>
      <c r="E104" s="40" t="s">
        <v>88</v>
      </c>
      <c r="F104" s="41">
        <v>1</v>
      </c>
      <c r="G104" s="40" t="s">
        <v>89</v>
      </c>
    </row>
    <row r="105" spans="1:7" x14ac:dyDescent="0.3">
      <c r="A105" s="39">
        <v>111</v>
      </c>
      <c r="B105" s="39">
        <v>111</v>
      </c>
      <c r="C105" s="40" t="s">
        <v>189</v>
      </c>
      <c r="D105" s="40" t="s">
        <v>189</v>
      </c>
      <c r="E105" s="40" t="s">
        <v>88</v>
      </c>
      <c r="F105" s="41">
        <v>1</v>
      </c>
      <c r="G105" s="40" t="s">
        <v>89</v>
      </c>
    </row>
    <row r="106" spans="1:7" x14ac:dyDescent="0.3">
      <c r="A106" s="39">
        <v>112</v>
      </c>
      <c r="B106" s="39">
        <v>112</v>
      </c>
      <c r="C106" s="40" t="s">
        <v>190</v>
      </c>
      <c r="D106" s="40" t="s">
        <v>190</v>
      </c>
      <c r="E106" s="40" t="s">
        <v>88</v>
      </c>
      <c r="F106" s="41">
        <v>1</v>
      </c>
      <c r="G106" s="40" t="s">
        <v>89</v>
      </c>
    </row>
    <row r="107" spans="1:7" x14ac:dyDescent="0.3">
      <c r="A107" s="39">
        <v>113</v>
      </c>
      <c r="B107" s="39">
        <v>113</v>
      </c>
      <c r="C107" s="40" t="s">
        <v>191</v>
      </c>
      <c r="D107" s="40" t="s">
        <v>191</v>
      </c>
      <c r="E107" s="40" t="s">
        <v>88</v>
      </c>
      <c r="F107" s="41">
        <v>1</v>
      </c>
      <c r="G107" s="40" t="s">
        <v>89</v>
      </c>
    </row>
    <row r="108" spans="1:7" x14ac:dyDescent="0.3">
      <c r="A108" s="39">
        <v>114</v>
      </c>
      <c r="B108" s="39">
        <v>114</v>
      </c>
      <c r="C108" s="40" t="s">
        <v>192</v>
      </c>
      <c r="D108" s="40" t="s">
        <v>192</v>
      </c>
      <c r="E108" s="40" t="s">
        <v>88</v>
      </c>
      <c r="F108" s="41">
        <v>1</v>
      </c>
      <c r="G108" s="40" t="s">
        <v>89</v>
      </c>
    </row>
    <row r="109" spans="1:7" x14ac:dyDescent="0.3">
      <c r="A109" s="39">
        <v>115</v>
      </c>
      <c r="B109" s="39">
        <v>115</v>
      </c>
      <c r="C109" s="40" t="s">
        <v>193</v>
      </c>
      <c r="D109" s="40" t="s">
        <v>193</v>
      </c>
      <c r="E109" s="40" t="s">
        <v>88</v>
      </c>
      <c r="F109" s="41">
        <v>1</v>
      </c>
      <c r="G109" s="40" t="s">
        <v>89</v>
      </c>
    </row>
    <row r="110" spans="1:7" x14ac:dyDescent="0.3">
      <c r="A110" s="39">
        <v>116</v>
      </c>
      <c r="B110" s="39">
        <v>116</v>
      </c>
      <c r="C110" s="40" t="s">
        <v>194</v>
      </c>
      <c r="D110" s="40" t="s">
        <v>194</v>
      </c>
      <c r="E110" s="40" t="s">
        <v>88</v>
      </c>
      <c r="F110" s="41">
        <v>1</v>
      </c>
      <c r="G110" s="40" t="s">
        <v>89</v>
      </c>
    </row>
    <row r="111" spans="1:7" x14ac:dyDescent="0.3">
      <c r="A111" s="39">
        <v>117</v>
      </c>
      <c r="B111" s="39">
        <v>117</v>
      </c>
      <c r="C111" s="40" t="s">
        <v>195</v>
      </c>
      <c r="D111" s="40" t="s">
        <v>195</v>
      </c>
      <c r="E111" s="40" t="s">
        <v>88</v>
      </c>
      <c r="F111" s="41">
        <v>1</v>
      </c>
      <c r="G111" s="40" t="s">
        <v>89</v>
      </c>
    </row>
    <row r="112" spans="1:7" x14ac:dyDescent="0.3">
      <c r="A112" s="39">
        <v>118</v>
      </c>
      <c r="B112" s="39">
        <v>118</v>
      </c>
      <c r="C112" s="40" t="s">
        <v>196</v>
      </c>
      <c r="D112" s="40" t="s">
        <v>196</v>
      </c>
      <c r="E112" s="40" t="s">
        <v>88</v>
      </c>
      <c r="F112" s="41">
        <v>1</v>
      </c>
      <c r="G112" s="40" t="s">
        <v>89</v>
      </c>
    </row>
    <row r="113" spans="1:7" x14ac:dyDescent="0.3">
      <c r="A113" s="39">
        <v>119</v>
      </c>
      <c r="B113" s="39">
        <v>119</v>
      </c>
      <c r="C113" s="40" t="s">
        <v>197</v>
      </c>
      <c r="D113" s="40" t="s">
        <v>197</v>
      </c>
      <c r="E113" s="40" t="s">
        <v>88</v>
      </c>
      <c r="F113" s="41">
        <v>1</v>
      </c>
      <c r="G113" s="40" t="s">
        <v>89</v>
      </c>
    </row>
    <row r="114" spans="1:7" x14ac:dyDescent="0.3">
      <c r="A114" s="39">
        <v>120</v>
      </c>
      <c r="B114" s="39">
        <v>120</v>
      </c>
      <c r="C114" s="40" t="s">
        <v>198</v>
      </c>
      <c r="D114" s="40" t="s">
        <v>198</v>
      </c>
      <c r="E114" s="40" t="s">
        <v>88</v>
      </c>
      <c r="F114" s="41">
        <v>1</v>
      </c>
      <c r="G114" s="40" t="s">
        <v>89</v>
      </c>
    </row>
    <row r="115" spans="1:7" x14ac:dyDescent="0.3">
      <c r="A115" s="39">
        <v>121</v>
      </c>
      <c r="B115" s="39">
        <v>121</v>
      </c>
      <c r="C115" s="40" t="s">
        <v>199</v>
      </c>
      <c r="D115" s="40" t="s">
        <v>199</v>
      </c>
      <c r="E115" s="40" t="s">
        <v>88</v>
      </c>
      <c r="F115" s="41">
        <v>1</v>
      </c>
      <c r="G115" s="40" t="s">
        <v>89</v>
      </c>
    </row>
    <row r="116" spans="1:7" x14ac:dyDescent="0.3">
      <c r="A116" s="39">
        <v>122</v>
      </c>
      <c r="B116" s="39">
        <v>122</v>
      </c>
      <c r="C116" s="40" t="s">
        <v>200</v>
      </c>
      <c r="D116" s="40" t="s">
        <v>200</v>
      </c>
      <c r="E116" s="40" t="s">
        <v>88</v>
      </c>
      <c r="F116" s="41">
        <v>1</v>
      </c>
      <c r="G116" s="40" t="s">
        <v>89</v>
      </c>
    </row>
    <row r="117" spans="1:7" x14ac:dyDescent="0.3">
      <c r="A117" s="39">
        <v>123</v>
      </c>
      <c r="B117" s="39">
        <v>123</v>
      </c>
      <c r="C117" s="40" t="s">
        <v>201</v>
      </c>
      <c r="D117" s="40" t="s">
        <v>201</v>
      </c>
      <c r="E117" s="40" t="s">
        <v>88</v>
      </c>
      <c r="F117" s="41">
        <v>1</v>
      </c>
      <c r="G117" s="40" t="s">
        <v>89</v>
      </c>
    </row>
    <row r="118" spans="1:7" x14ac:dyDescent="0.3">
      <c r="A118" s="39">
        <v>124</v>
      </c>
      <c r="B118" s="39">
        <v>124</v>
      </c>
      <c r="C118" s="40" t="s">
        <v>202</v>
      </c>
      <c r="D118" s="40" t="s">
        <v>202</v>
      </c>
      <c r="E118" s="40" t="s">
        <v>88</v>
      </c>
      <c r="F118" s="41">
        <v>1</v>
      </c>
      <c r="G118" s="40" t="s">
        <v>89</v>
      </c>
    </row>
    <row r="119" spans="1:7" x14ac:dyDescent="0.3">
      <c r="A119" s="39">
        <v>125</v>
      </c>
      <c r="B119" s="39">
        <v>125</v>
      </c>
      <c r="C119" s="40" t="s">
        <v>203</v>
      </c>
      <c r="D119" s="40" t="s">
        <v>203</v>
      </c>
      <c r="E119" s="40" t="s">
        <v>88</v>
      </c>
      <c r="F119" s="41">
        <v>1</v>
      </c>
      <c r="G119" s="40" t="s">
        <v>89</v>
      </c>
    </row>
    <row r="120" spans="1:7" x14ac:dyDescent="0.3">
      <c r="A120" s="39">
        <v>126</v>
      </c>
      <c r="B120" s="39">
        <v>126</v>
      </c>
      <c r="C120" s="40" t="s">
        <v>204</v>
      </c>
      <c r="D120" s="40" t="s">
        <v>204</v>
      </c>
      <c r="E120" s="40" t="s">
        <v>88</v>
      </c>
      <c r="F120" s="41">
        <v>1</v>
      </c>
      <c r="G120" s="40" t="s">
        <v>89</v>
      </c>
    </row>
    <row r="121" spans="1:7" x14ac:dyDescent="0.3">
      <c r="A121" s="39">
        <v>127</v>
      </c>
      <c r="B121" s="39">
        <v>127</v>
      </c>
      <c r="C121" s="40" t="s">
        <v>205</v>
      </c>
      <c r="D121" s="40" t="s">
        <v>205</v>
      </c>
      <c r="E121" s="40" t="s">
        <v>88</v>
      </c>
      <c r="F121" s="41">
        <v>1</v>
      </c>
      <c r="G121" s="40" t="s">
        <v>89</v>
      </c>
    </row>
    <row r="122" spans="1:7" x14ac:dyDescent="0.3">
      <c r="A122" s="39">
        <v>128</v>
      </c>
      <c r="B122" s="39">
        <v>128</v>
      </c>
      <c r="C122" s="40" t="s">
        <v>206</v>
      </c>
      <c r="D122" s="40" t="s">
        <v>206</v>
      </c>
      <c r="E122" s="40" t="s">
        <v>88</v>
      </c>
      <c r="F122" s="41">
        <v>1</v>
      </c>
      <c r="G122" s="40" t="s">
        <v>89</v>
      </c>
    </row>
    <row r="123" spans="1:7" x14ac:dyDescent="0.3">
      <c r="A123" s="39">
        <v>808</v>
      </c>
      <c r="B123" s="39">
        <v>808</v>
      </c>
      <c r="C123" s="40" t="s">
        <v>207</v>
      </c>
      <c r="D123" s="40" t="s">
        <v>207</v>
      </c>
      <c r="E123" s="40" t="s">
        <v>88</v>
      </c>
      <c r="F123" s="41">
        <v>1</v>
      </c>
      <c r="G123" s="40" t="s">
        <v>89</v>
      </c>
    </row>
    <row r="124" spans="1:7" x14ac:dyDescent="0.3">
      <c r="A124" s="39">
        <v>131</v>
      </c>
      <c r="B124" s="39">
        <v>131</v>
      </c>
      <c r="C124" s="40" t="s">
        <v>208</v>
      </c>
      <c r="D124" s="40" t="s">
        <v>208</v>
      </c>
      <c r="E124" s="40" t="s">
        <v>88</v>
      </c>
      <c r="F124" s="41">
        <v>1</v>
      </c>
      <c r="G124" s="40" t="s">
        <v>89</v>
      </c>
    </row>
    <row r="125" spans="1:7" x14ac:dyDescent="0.3">
      <c r="A125" s="39">
        <v>132</v>
      </c>
      <c r="B125" s="39">
        <v>132</v>
      </c>
      <c r="C125" s="40" t="s">
        <v>209</v>
      </c>
      <c r="D125" s="40" t="s">
        <v>209</v>
      </c>
      <c r="E125" s="40" t="s">
        <v>88</v>
      </c>
      <c r="F125" s="41">
        <v>1</v>
      </c>
      <c r="G125" s="40" t="s">
        <v>89</v>
      </c>
    </row>
    <row r="126" spans="1:7" x14ac:dyDescent="0.3">
      <c r="A126" s="39">
        <v>133</v>
      </c>
      <c r="B126" s="39">
        <v>133</v>
      </c>
      <c r="C126" s="40" t="s">
        <v>210</v>
      </c>
      <c r="D126" s="40" t="s">
        <v>210</v>
      </c>
      <c r="E126" s="40" t="s">
        <v>88</v>
      </c>
      <c r="F126" s="41">
        <v>1</v>
      </c>
      <c r="G126" s="40" t="s">
        <v>89</v>
      </c>
    </row>
    <row r="127" spans="1:7" x14ac:dyDescent="0.3">
      <c r="A127" s="39">
        <v>134</v>
      </c>
      <c r="B127" s="39">
        <v>134</v>
      </c>
      <c r="C127" s="40" t="s">
        <v>211</v>
      </c>
      <c r="D127" s="40" t="s">
        <v>211</v>
      </c>
      <c r="E127" s="40" t="s">
        <v>88</v>
      </c>
      <c r="F127" s="41">
        <v>1</v>
      </c>
      <c r="G127" s="40" t="s">
        <v>89</v>
      </c>
    </row>
    <row r="128" spans="1:7" x14ac:dyDescent="0.3">
      <c r="A128" s="39">
        <v>135</v>
      </c>
      <c r="B128" s="39">
        <v>135</v>
      </c>
      <c r="C128" s="40" t="s">
        <v>212</v>
      </c>
      <c r="D128" s="40" t="s">
        <v>212</v>
      </c>
      <c r="E128" s="40" t="s">
        <v>88</v>
      </c>
      <c r="F128" s="41">
        <v>1</v>
      </c>
      <c r="G128" s="40" t="s">
        <v>89</v>
      </c>
    </row>
    <row r="129" spans="1:7" x14ac:dyDescent="0.3">
      <c r="A129" s="39">
        <v>136</v>
      </c>
      <c r="B129" s="39">
        <v>136</v>
      </c>
      <c r="C129" s="40" t="s">
        <v>213</v>
      </c>
      <c r="D129" s="40" t="s">
        <v>213</v>
      </c>
      <c r="E129" s="40" t="s">
        <v>88</v>
      </c>
      <c r="F129" s="41">
        <v>1</v>
      </c>
      <c r="G129" s="40" t="s">
        <v>89</v>
      </c>
    </row>
    <row r="130" spans="1:7" x14ac:dyDescent="0.3">
      <c r="A130" s="39">
        <v>137</v>
      </c>
      <c r="B130" s="39">
        <v>137</v>
      </c>
      <c r="C130" s="40" t="s">
        <v>214</v>
      </c>
      <c r="D130" s="40" t="s">
        <v>214</v>
      </c>
      <c r="E130" s="40" t="s">
        <v>88</v>
      </c>
      <c r="F130" s="41">
        <v>1</v>
      </c>
      <c r="G130" s="40" t="s">
        <v>89</v>
      </c>
    </row>
    <row r="131" spans="1:7" x14ac:dyDescent="0.3">
      <c r="A131" s="39">
        <v>138</v>
      </c>
      <c r="B131" s="39">
        <v>138</v>
      </c>
      <c r="C131" s="40" t="s">
        <v>215</v>
      </c>
      <c r="D131" s="40" t="s">
        <v>215</v>
      </c>
      <c r="E131" s="40" t="s">
        <v>88</v>
      </c>
      <c r="F131" s="41">
        <v>1</v>
      </c>
      <c r="G131" s="40" t="s">
        <v>89</v>
      </c>
    </row>
    <row r="132" spans="1:7" x14ac:dyDescent="0.3">
      <c r="A132" s="39">
        <v>139</v>
      </c>
      <c r="B132" s="39">
        <v>139</v>
      </c>
      <c r="C132" s="40" t="s">
        <v>216</v>
      </c>
      <c r="D132" s="40" t="s">
        <v>216</v>
      </c>
      <c r="E132" s="40" t="s">
        <v>88</v>
      </c>
      <c r="F132" s="41">
        <v>1</v>
      </c>
      <c r="G132" s="40" t="s">
        <v>89</v>
      </c>
    </row>
    <row r="133" spans="1:7" x14ac:dyDescent="0.3">
      <c r="A133" s="39">
        <v>140</v>
      </c>
      <c r="B133" s="39">
        <v>140</v>
      </c>
      <c r="C133" s="40" t="s">
        <v>217</v>
      </c>
      <c r="D133" s="40" t="s">
        <v>217</v>
      </c>
      <c r="E133" s="40" t="s">
        <v>88</v>
      </c>
      <c r="F133" s="41">
        <v>1</v>
      </c>
      <c r="G133" s="40" t="s">
        <v>89</v>
      </c>
    </row>
    <row r="134" spans="1:7" x14ac:dyDescent="0.3">
      <c r="A134" s="39">
        <v>141</v>
      </c>
      <c r="B134" s="39">
        <v>141</v>
      </c>
      <c r="C134" s="40" t="s">
        <v>218</v>
      </c>
      <c r="D134" s="40" t="s">
        <v>218</v>
      </c>
      <c r="E134" s="40" t="s">
        <v>88</v>
      </c>
      <c r="F134" s="41">
        <v>1</v>
      </c>
      <c r="G134" s="40" t="s">
        <v>89</v>
      </c>
    </row>
    <row r="135" spans="1:7" x14ac:dyDescent="0.3">
      <c r="A135" s="39">
        <v>142</v>
      </c>
      <c r="B135" s="39">
        <v>142</v>
      </c>
      <c r="C135" s="40" t="s">
        <v>219</v>
      </c>
      <c r="D135" s="40" t="s">
        <v>219</v>
      </c>
      <c r="E135" s="40" t="s">
        <v>88</v>
      </c>
      <c r="F135" s="41">
        <v>1</v>
      </c>
      <c r="G135" s="40" t="s">
        <v>89</v>
      </c>
    </row>
    <row r="136" spans="1:7" x14ac:dyDescent="0.3">
      <c r="A136" s="39">
        <v>143</v>
      </c>
      <c r="B136" s="39">
        <v>143</v>
      </c>
      <c r="C136" s="40" t="s">
        <v>220</v>
      </c>
      <c r="D136" s="40" t="s">
        <v>220</v>
      </c>
      <c r="E136" s="40" t="s">
        <v>88</v>
      </c>
      <c r="F136" s="41">
        <v>1</v>
      </c>
      <c r="G136" s="40" t="s">
        <v>89</v>
      </c>
    </row>
    <row r="137" spans="1:7" x14ac:dyDescent="0.3">
      <c r="A137" s="39">
        <v>144</v>
      </c>
      <c r="B137" s="39">
        <v>144</v>
      </c>
      <c r="C137" s="40" t="s">
        <v>221</v>
      </c>
      <c r="D137" s="40" t="s">
        <v>221</v>
      </c>
      <c r="E137" s="40" t="s">
        <v>88</v>
      </c>
      <c r="F137" s="41">
        <v>1</v>
      </c>
      <c r="G137" s="40" t="s">
        <v>89</v>
      </c>
    </row>
    <row r="138" spans="1:7" x14ac:dyDescent="0.3">
      <c r="A138" s="39">
        <v>145</v>
      </c>
      <c r="B138" s="39">
        <v>145</v>
      </c>
      <c r="C138" s="40" t="s">
        <v>222</v>
      </c>
      <c r="D138" s="40" t="s">
        <v>222</v>
      </c>
      <c r="E138" s="40" t="s">
        <v>88</v>
      </c>
      <c r="F138" s="41">
        <v>1</v>
      </c>
      <c r="G138" s="40" t="s">
        <v>89</v>
      </c>
    </row>
    <row r="139" spans="1:7" x14ac:dyDescent="0.3">
      <c r="A139" s="39">
        <v>146</v>
      </c>
      <c r="B139" s="39">
        <v>146</v>
      </c>
      <c r="C139" s="40" t="s">
        <v>223</v>
      </c>
      <c r="D139" s="40" t="s">
        <v>223</v>
      </c>
      <c r="E139" s="40" t="s">
        <v>88</v>
      </c>
      <c r="F139" s="41">
        <v>1</v>
      </c>
      <c r="G139" s="40" t="s">
        <v>89</v>
      </c>
    </row>
    <row r="140" spans="1:7" x14ac:dyDescent="0.3">
      <c r="A140" s="39">
        <v>147</v>
      </c>
      <c r="B140" s="39">
        <v>147</v>
      </c>
      <c r="C140" s="40" t="s">
        <v>224</v>
      </c>
      <c r="D140" s="40" t="s">
        <v>224</v>
      </c>
      <c r="E140" s="40" t="s">
        <v>88</v>
      </c>
      <c r="F140" s="41">
        <v>1</v>
      </c>
      <c r="G140" s="40" t="s">
        <v>89</v>
      </c>
    </row>
    <row r="141" spans="1:7" x14ac:dyDescent="0.3">
      <c r="A141" s="39">
        <v>148</v>
      </c>
      <c r="B141" s="39">
        <v>148</v>
      </c>
      <c r="C141" s="40" t="s">
        <v>225</v>
      </c>
      <c r="D141" s="40" t="s">
        <v>225</v>
      </c>
      <c r="E141" s="40" t="s">
        <v>88</v>
      </c>
      <c r="F141" s="41">
        <v>1</v>
      </c>
      <c r="G141" s="40" t="s">
        <v>89</v>
      </c>
    </row>
    <row r="142" spans="1:7" x14ac:dyDescent="0.3">
      <c r="A142" s="39">
        <v>149</v>
      </c>
      <c r="B142" s="39">
        <v>149</v>
      </c>
      <c r="C142" s="40" t="s">
        <v>226</v>
      </c>
      <c r="D142" s="40" t="s">
        <v>226</v>
      </c>
      <c r="E142" s="40" t="s">
        <v>88</v>
      </c>
      <c r="F142" s="41">
        <v>1</v>
      </c>
      <c r="G142" s="40" t="s">
        <v>89</v>
      </c>
    </row>
    <row r="143" spans="1:7" x14ac:dyDescent="0.3">
      <c r="A143" s="39">
        <v>150</v>
      </c>
      <c r="B143" s="39">
        <v>150</v>
      </c>
      <c r="C143" s="40" t="s">
        <v>227</v>
      </c>
      <c r="D143" s="40" t="s">
        <v>227</v>
      </c>
      <c r="E143" s="40" t="s">
        <v>88</v>
      </c>
      <c r="F143" s="41">
        <v>1</v>
      </c>
      <c r="G143" s="40" t="s">
        <v>89</v>
      </c>
    </row>
    <row r="144" spans="1:7" x14ac:dyDescent="0.3">
      <c r="A144" s="39">
        <v>151</v>
      </c>
      <c r="B144" s="39">
        <v>151</v>
      </c>
      <c r="C144" s="40" t="s">
        <v>228</v>
      </c>
      <c r="D144" s="40" t="s">
        <v>228</v>
      </c>
      <c r="E144" s="40" t="s">
        <v>88</v>
      </c>
      <c r="F144" s="41">
        <v>1</v>
      </c>
      <c r="G144" s="40" t="s">
        <v>89</v>
      </c>
    </row>
    <row r="145" spans="1:7" x14ac:dyDescent="0.3">
      <c r="A145" s="39">
        <v>152</v>
      </c>
      <c r="B145" s="39">
        <v>152</v>
      </c>
      <c r="C145" s="40" t="s">
        <v>229</v>
      </c>
      <c r="D145" s="40" t="s">
        <v>229</v>
      </c>
      <c r="E145" s="40" t="s">
        <v>88</v>
      </c>
      <c r="F145" s="41">
        <v>1</v>
      </c>
      <c r="G145" s="40" t="s">
        <v>89</v>
      </c>
    </row>
    <row r="146" spans="1:7" x14ac:dyDescent="0.3">
      <c r="A146" s="39">
        <v>153</v>
      </c>
      <c r="B146" s="39">
        <v>153</v>
      </c>
      <c r="C146" s="40" t="s">
        <v>230</v>
      </c>
      <c r="D146" s="40" t="s">
        <v>230</v>
      </c>
      <c r="E146" s="40" t="s">
        <v>88</v>
      </c>
      <c r="F146" s="41">
        <v>1</v>
      </c>
      <c r="G146" s="40" t="s">
        <v>89</v>
      </c>
    </row>
    <row r="147" spans="1:7" x14ac:dyDescent="0.3">
      <c r="A147" s="39">
        <v>154</v>
      </c>
      <c r="B147" s="39">
        <v>154</v>
      </c>
      <c r="C147" s="40" t="s">
        <v>231</v>
      </c>
      <c r="D147" s="40" t="s">
        <v>231</v>
      </c>
      <c r="E147" s="40" t="s">
        <v>88</v>
      </c>
      <c r="F147" s="41">
        <v>1</v>
      </c>
      <c r="G147" s="40" t="s">
        <v>89</v>
      </c>
    </row>
    <row r="148" spans="1:7" x14ac:dyDescent="0.3">
      <c r="A148" s="39">
        <v>155</v>
      </c>
      <c r="B148" s="39">
        <v>155</v>
      </c>
      <c r="C148" s="40" t="s">
        <v>232</v>
      </c>
      <c r="D148" s="40" t="s">
        <v>232</v>
      </c>
      <c r="E148" s="40" t="s">
        <v>88</v>
      </c>
      <c r="F148" s="41">
        <v>1</v>
      </c>
      <c r="G148" s="40" t="s">
        <v>89</v>
      </c>
    </row>
    <row r="149" spans="1:7" x14ac:dyDescent="0.3">
      <c r="A149" s="39">
        <v>156</v>
      </c>
      <c r="B149" s="39">
        <v>156</v>
      </c>
      <c r="C149" s="40" t="s">
        <v>233</v>
      </c>
      <c r="D149" s="40" t="s">
        <v>233</v>
      </c>
      <c r="E149" s="40" t="s">
        <v>88</v>
      </c>
      <c r="F149" s="41">
        <v>1</v>
      </c>
      <c r="G149" s="40" t="s">
        <v>89</v>
      </c>
    </row>
    <row r="150" spans="1:7" x14ac:dyDescent="0.3">
      <c r="A150" s="39">
        <v>157</v>
      </c>
      <c r="B150" s="39">
        <v>157</v>
      </c>
      <c r="C150" s="40" t="s">
        <v>234</v>
      </c>
      <c r="D150" s="40" t="s">
        <v>234</v>
      </c>
      <c r="E150" s="40" t="s">
        <v>88</v>
      </c>
      <c r="F150" s="41">
        <v>1</v>
      </c>
      <c r="G150" s="40" t="s">
        <v>89</v>
      </c>
    </row>
    <row r="151" spans="1:7" x14ac:dyDescent="0.3">
      <c r="A151" s="39">
        <v>158</v>
      </c>
      <c r="B151" s="39">
        <v>158</v>
      </c>
      <c r="C151" s="40" t="s">
        <v>235</v>
      </c>
      <c r="D151" s="40" t="s">
        <v>235</v>
      </c>
      <c r="E151" s="40" t="s">
        <v>88</v>
      </c>
      <c r="F151" s="41">
        <v>1</v>
      </c>
      <c r="G151" s="40" t="s">
        <v>89</v>
      </c>
    </row>
    <row r="152" spans="1:7" x14ac:dyDescent="0.3">
      <c r="A152" s="39">
        <v>159</v>
      </c>
      <c r="B152" s="39">
        <v>159</v>
      </c>
      <c r="C152" s="40" t="s">
        <v>236</v>
      </c>
      <c r="D152" s="40" t="s">
        <v>236</v>
      </c>
      <c r="E152" s="40" t="s">
        <v>88</v>
      </c>
      <c r="F152" s="41">
        <v>1</v>
      </c>
      <c r="G152" s="40" t="s">
        <v>89</v>
      </c>
    </row>
    <row r="153" spans="1:7" x14ac:dyDescent="0.3">
      <c r="A153" s="39">
        <v>160</v>
      </c>
      <c r="B153" s="39">
        <v>160</v>
      </c>
      <c r="C153" s="40" t="s">
        <v>237</v>
      </c>
      <c r="D153" s="40" t="s">
        <v>237</v>
      </c>
      <c r="E153" s="40" t="s">
        <v>88</v>
      </c>
      <c r="F153" s="41">
        <v>1</v>
      </c>
      <c r="G153" s="40" t="s">
        <v>89</v>
      </c>
    </row>
    <row r="154" spans="1:7" x14ac:dyDescent="0.3">
      <c r="A154" s="39">
        <v>161</v>
      </c>
      <c r="B154" s="39">
        <v>161</v>
      </c>
      <c r="C154" s="40" t="s">
        <v>238</v>
      </c>
      <c r="D154" s="40" t="s">
        <v>238</v>
      </c>
      <c r="E154" s="40" t="s">
        <v>88</v>
      </c>
      <c r="F154" s="41">
        <v>1</v>
      </c>
      <c r="G154" s="40" t="s">
        <v>89</v>
      </c>
    </row>
    <row r="155" spans="1:7" x14ac:dyDescent="0.3">
      <c r="A155" s="39">
        <v>162</v>
      </c>
      <c r="B155" s="39">
        <v>162</v>
      </c>
      <c r="C155" s="40" t="s">
        <v>239</v>
      </c>
      <c r="D155" s="40" t="s">
        <v>239</v>
      </c>
      <c r="E155" s="40" t="s">
        <v>88</v>
      </c>
      <c r="F155" s="41">
        <v>1</v>
      </c>
      <c r="G155" s="40" t="s">
        <v>89</v>
      </c>
    </row>
    <row r="156" spans="1:7" x14ac:dyDescent="0.3">
      <c r="A156" s="39">
        <v>163</v>
      </c>
      <c r="B156" s="39">
        <v>163</v>
      </c>
      <c r="C156" s="40" t="s">
        <v>240</v>
      </c>
      <c r="D156" s="40" t="s">
        <v>240</v>
      </c>
      <c r="E156" s="40" t="s">
        <v>88</v>
      </c>
      <c r="F156" s="41">
        <v>1</v>
      </c>
      <c r="G156" s="40" t="s">
        <v>89</v>
      </c>
    </row>
    <row r="157" spans="1:7" x14ac:dyDescent="0.3">
      <c r="A157" s="39">
        <v>164</v>
      </c>
      <c r="B157" s="39">
        <v>164</v>
      </c>
      <c r="C157" s="40" t="s">
        <v>241</v>
      </c>
      <c r="D157" s="40" t="s">
        <v>241</v>
      </c>
      <c r="E157" s="40" t="s">
        <v>88</v>
      </c>
      <c r="F157" s="41">
        <v>1</v>
      </c>
      <c r="G157" s="40" t="s">
        <v>89</v>
      </c>
    </row>
    <row r="158" spans="1:7" x14ac:dyDescent="0.3">
      <c r="A158" s="39">
        <v>165</v>
      </c>
      <c r="B158" s="39">
        <v>165</v>
      </c>
      <c r="C158" s="40" t="s">
        <v>242</v>
      </c>
      <c r="D158" s="40" t="s">
        <v>242</v>
      </c>
      <c r="E158" s="40" t="s">
        <v>88</v>
      </c>
      <c r="F158" s="41">
        <v>1</v>
      </c>
      <c r="G158" s="40" t="s">
        <v>89</v>
      </c>
    </row>
    <row r="159" spans="1:7" x14ac:dyDescent="0.3">
      <c r="A159" s="39">
        <v>166</v>
      </c>
      <c r="B159" s="39">
        <v>166</v>
      </c>
      <c r="C159" s="40" t="s">
        <v>243</v>
      </c>
      <c r="D159" s="40" t="s">
        <v>243</v>
      </c>
      <c r="E159" s="40" t="s">
        <v>88</v>
      </c>
      <c r="F159" s="41">
        <v>1</v>
      </c>
      <c r="G159" s="40" t="s">
        <v>89</v>
      </c>
    </row>
    <row r="160" spans="1:7" x14ac:dyDescent="0.3">
      <c r="A160" s="39">
        <v>167</v>
      </c>
      <c r="B160" s="39">
        <v>167</v>
      </c>
      <c r="C160" s="40" t="s">
        <v>244</v>
      </c>
      <c r="D160" s="40" t="s">
        <v>244</v>
      </c>
      <c r="E160" s="40" t="s">
        <v>88</v>
      </c>
      <c r="F160" s="41">
        <v>1</v>
      </c>
      <c r="G160" s="40" t="s">
        <v>89</v>
      </c>
    </row>
    <row r="161" spans="1:7" x14ac:dyDescent="0.3">
      <c r="A161" s="39">
        <v>168</v>
      </c>
      <c r="B161" s="39">
        <v>168</v>
      </c>
      <c r="C161" s="40" t="s">
        <v>245</v>
      </c>
      <c r="D161" s="40" t="s">
        <v>245</v>
      </c>
      <c r="E161" s="40" t="s">
        <v>88</v>
      </c>
      <c r="F161" s="41">
        <v>1</v>
      </c>
      <c r="G161" s="40" t="s">
        <v>89</v>
      </c>
    </row>
    <row r="162" spans="1:7" x14ac:dyDescent="0.3">
      <c r="A162" s="39">
        <v>169</v>
      </c>
      <c r="B162" s="39">
        <v>169</v>
      </c>
      <c r="C162" s="40" t="s">
        <v>246</v>
      </c>
      <c r="D162" s="40" t="s">
        <v>246</v>
      </c>
      <c r="E162" s="40" t="s">
        <v>88</v>
      </c>
      <c r="F162" s="41">
        <v>1</v>
      </c>
      <c r="G162" s="40" t="s">
        <v>89</v>
      </c>
    </row>
    <row r="163" spans="1:7" x14ac:dyDescent="0.3">
      <c r="A163" s="39">
        <v>170</v>
      </c>
      <c r="B163" s="39">
        <v>170</v>
      </c>
      <c r="C163" s="40" t="s">
        <v>247</v>
      </c>
      <c r="D163" s="40" t="s">
        <v>247</v>
      </c>
      <c r="E163" s="40" t="s">
        <v>88</v>
      </c>
      <c r="F163" s="41">
        <v>1</v>
      </c>
      <c r="G163" s="40" t="s">
        <v>89</v>
      </c>
    </row>
    <row r="164" spans="1:7" x14ac:dyDescent="0.3">
      <c r="A164" s="39">
        <v>171</v>
      </c>
      <c r="B164" s="39">
        <v>171</v>
      </c>
      <c r="C164" s="40" t="s">
        <v>248</v>
      </c>
      <c r="D164" s="40" t="s">
        <v>248</v>
      </c>
      <c r="E164" s="40" t="s">
        <v>88</v>
      </c>
      <c r="F164" s="41">
        <v>1</v>
      </c>
      <c r="G164" s="40" t="s">
        <v>89</v>
      </c>
    </row>
    <row r="165" spans="1:7" x14ac:dyDescent="0.3">
      <c r="A165" s="39">
        <v>172</v>
      </c>
      <c r="B165" s="39">
        <v>172</v>
      </c>
      <c r="C165" s="40" t="s">
        <v>249</v>
      </c>
      <c r="D165" s="40" t="s">
        <v>249</v>
      </c>
      <c r="E165" s="40" t="s">
        <v>88</v>
      </c>
      <c r="F165" s="41">
        <v>1</v>
      </c>
      <c r="G165" s="40" t="s">
        <v>89</v>
      </c>
    </row>
    <row r="166" spans="1:7" x14ac:dyDescent="0.3">
      <c r="A166" s="39">
        <v>173</v>
      </c>
      <c r="B166" s="39">
        <v>173</v>
      </c>
      <c r="C166" s="40" t="s">
        <v>250</v>
      </c>
      <c r="D166" s="40" t="s">
        <v>250</v>
      </c>
      <c r="E166" s="40" t="s">
        <v>88</v>
      </c>
      <c r="F166" s="41">
        <v>1</v>
      </c>
      <c r="G166" s="40" t="s">
        <v>89</v>
      </c>
    </row>
    <row r="167" spans="1:7" x14ac:dyDescent="0.3">
      <c r="A167" s="39">
        <v>174</v>
      </c>
      <c r="B167" s="39">
        <v>174</v>
      </c>
      <c r="C167" s="40" t="s">
        <v>251</v>
      </c>
      <c r="D167" s="40" t="s">
        <v>251</v>
      </c>
      <c r="E167" s="40" t="s">
        <v>88</v>
      </c>
      <c r="F167" s="41">
        <v>1</v>
      </c>
      <c r="G167" s="40" t="s">
        <v>89</v>
      </c>
    </row>
    <row r="168" spans="1:7" x14ac:dyDescent="0.3">
      <c r="A168" s="39">
        <v>175</v>
      </c>
      <c r="B168" s="39">
        <v>175</v>
      </c>
      <c r="C168" s="40" t="s">
        <v>252</v>
      </c>
      <c r="D168" s="40" t="s">
        <v>252</v>
      </c>
      <c r="E168" s="40" t="s">
        <v>88</v>
      </c>
      <c r="F168" s="41">
        <v>1</v>
      </c>
      <c r="G168" s="40" t="s">
        <v>89</v>
      </c>
    </row>
    <row r="169" spans="1:7" x14ac:dyDescent="0.3">
      <c r="A169" s="39">
        <v>176</v>
      </c>
      <c r="B169" s="39">
        <v>176</v>
      </c>
      <c r="C169" s="40" t="s">
        <v>253</v>
      </c>
      <c r="D169" s="40" t="s">
        <v>253</v>
      </c>
      <c r="E169" s="40" t="s">
        <v>88</v>
      </c>
      <c r="F169" s="41">
        <v>1</v>
      </c>
      <c r="G169" s="40" t="s">
        <v>89</v>
      </c>
    </row>
    <row r="170" spans="1:7" x14ac:dyDescent="0.3">
      <c r="A170" s="39">
        <v>177</v>
      </c>
      <c r="B170" s="39">
        <v>177</v>
      </c>
      <c r="C170" s="40" t="s">
        <v>254</v>
      </c>
      <c r="D170" s="40" t="s">
        <v>254</v>
      </c>
      <c r="E170" s="40" t="s">
        <v>88</v>
      </c>
      <c r="F170" s="41">
        <v>1</v>
      </c>
      <c r="G170" s="40" t="s">
        <v>89</v>
      </c>
    </row>
    <row r="171" spans="1:7" x14ac:dyDescent="0.3">
      <c r="A171" s="39">
        <v>178</v>
      </c>
      <c r="B171" s="39">
        <v>178</v>
      </c>
      <c r="C171" s="40" t="s">
        <v>255</v>
      </c>
      <c r="D171" s="40" t="s">
        <v>255</v>
      </c>
      <c r="E171" s="40" t="s">
        <v>88</v>
      </c>
      <c r="F171" s="41">
        <v>1</v>
      </c>
      <c r="G171" s="40" t="s">
        <v>89</v>
      </c>
    </row>
    <row r="172" spans="1:7" x14ac:dyDescent="0.3">
      <c r="A172" s="39">
        <v>179</v>
      </c>
      <c r="B172" s="39">
        <v>179</v>
      </c>
      <c r="C172" s="40" t="s">
        <v>256</v>
      </c>
      <c r="D172" s="40" t="s">
        <v>256</v>
      </c>
      <c r="E172" s="40" t="s">
        <v>88</v>
      </c>
      <c r="F172" s="41">
        <v>1</v>
      </c>
      <c r="G172" s="40" t="s">
        <v>89</v>
      </c>
    </row>
    <row r="173" spans="1:7" x14ac:dyDescent="0.3">
      <c r="A173" s="39">
        <v>180</v>
      </c>
      <c r="B173" s="39">
        <v>180</v>
      </c>
      <c r="C173" s="40" t="s">
        <v>257</v>
      </c>
      <c r="D173" s="40" t="s">
        <v>257</v>
      </c>
      <c r="E173" s="40" t="s">
        <v>88</v>
      </c>
      <c r="F173" s="41">
        <v>1</v>
      </c>
      <c r="G173" s="40" t="s">
        <v>89</v>
      </c>
    </row>
    <row r="174" spans="1:7" x14ac:dyDescent="0.3">
      <c r="A174" s="39">
        <v>181</v>
      </c>
      <c r="B174" s="39">
        <v>181</v>
      </c>
      <c r="C174" s="40" t="s">
        <v>258</v>
      </c>
      <c r="D174" s="40" t="s">
        <v>258</v>
      </c>
      <c r="E174" s="40" t="s">
        <v>88</v>
      </c>
      <c r="F174" s="41">
        <v>1</v>
      </c>
      <c r="G174" s="40" t="s">
        <v>89</v>
      </c>
    </row>
    <row r="175" spans="1:7" x14ac:dyDescent="0.3">
      <c r="A175" s="39">
        <v>182</v>
      </c>
      <c r="B175" s="39">
        <v>182</v>
      </c>
      <c r="C175" s="40" t="s">
        <v>259</v>
      </c>
      <c r="D175" s="40" t="s">
        <v>259</v>
      </c>
      <c r="E175" s="40" t="s">
        <v>88</v>
      </c>
      <c r="F175" s="41">
        <v>1</v>
      </c>
      <c r="G175" s="40" t="s">
        <v>89</v>
      </c>
    </row>
    <row r="176" spans="1:7" x14ac:dyDescent="0.3">
      <c r="A176" s="39">
        <v>183</v>
      </c>
      <c r="B176" s="39">
        <v>183</v>
      </c>
      <c r="C176" s="40" t="s">
        <v>260</v>
      </c>
      <c r="D176" s="40" t="s">
        <v>260</v>
      </c>
      <c r="E176" s="40" t="s">
        <v>88</v>
      </c>
      <c r="F176" s="41">
        <v>1</v>
      </c>
      <c r="G176" s="40" t="s">
        <v>89</v>
      </c>
    </row>
    <row r="177" spans="1:7" x14ac:dyDescent="0.3">
      <c r="A177" s="39">
        <v>184</v>
      </c>
      <c r="B177" s="39">
        <v>184</v>
      </c>
      <c r="C177" s="40" t="s">
        <v>261</v>
      </c>
      <c r="D177" s="40" t="s">
        <v>261</v>
      </c>
      <c r="E177" s="40" t="s">
        <v>88</v>
      </c>
      <c r="F177" s="41">
        <v>1</v>
      </c>
      <c r="G177" s="40" t="s">
        <v>89</v>
      </c>
    </row>
    <row r="178" spans="1:7" x14ac:dyDescent="0.3">
      <c r="A178" s="39">
        <v>185</v>
      </c>
      <c r="B178" s="39">
        <v>185</v>
      </c>
      <c r="C178" s="40" t="s">
        <v>262</v>
      </c>
      <c r="D178" s="40" t="s">
        <v>262</v>
      </c>
      <c r="E178" s="40" t="s">
        <v>88</v>
      </c>
      <c r="F178" s="41">
        <v>1</v>
      </c>
      <c r="G178" s="40" t="s">
        <v>89</v>
      </c>
    </row>
    <row r="179" spans="1:7" x14ac:dyDescent="0.3">
      <c r="A179" s="39">
        <v>186</v>
      </c>
      <c r="B179" s="39">
        <v>186</v>
      </c>
      <c r="C179" s="40" t="s">
        <v>263</v>
      </c>
      <c r="D179" s="40" t="s">
        <v>263</v>
      </c>
      <c r="E179" s="40" t="s">
        <v>88</v>
      </c>
      <c r="F179" s="41">
        <v>1</v>
      </c>
      <c r="G179" s="40" t="s">
        <v>89</v>
      </c>
    </row>
    <row r="180" spans="1:7" x14ac:dyDescent="0.3">
      <c r="A180" s="39">
        <v>187</v>
      </c>
      <c r="B180" s="39">
        <v>187</v>
      </c>
      <c r="C180" s="40" t="s">
        <v>264</v>
      </c>
      <c r="D180" s="40" t="s">
        <v>264</v>
      </c>
      <c r="E180" s="40" t="s">
        <v>88</v>
      </c>
      <c r="F180" s="41">
        <v>1</v>
      </c>
      <c r="G180" s="40" t="s">
        <v>89</v>
      </c>
    </row>
    <row r="181" spans="1:7" x14ac:dyDescent="0.3">
      <c r="A181" s="39">
        <v>188</v>
      </c>
      <c r="B181" s="39">
        <v>188</v>
      </c>
      <c r="C181" s="40" t="s">
        <v>265</v>
      </c>
      <c r="D181" s="40" t="s">
        <v>265</v>
      </c>
      <c r="E181" s="40" t="s">
        <v>88</v>
      </c>
      <c r="F181" s="41">
        <v>1</v>
      </c>
      <c r="G181" s="40" t="s">
        <v>89</v>
      </c>
    </row>
    <row r="182" spans="1:7" x14ac:dyDescent="0.3">
      <c r="A182" s="39">
        <v>189</v>
      </c>
      <c r="B182" s="39">
        <v>189</v>
      </c>
      <c r="C182" s="40" t="s">
        <v>266</v>
      </c>
      <c r="D182" s="40" t="s">
        <v>266</v>
      </c>
      <c r="E182" s="40" t="s">
        <v>88</v>
      </c>
      <c r="F182" s="41">
        <v>1</v>
      </c>
      <c r="G182" s="40" t="s">
        <v>89</v>
      </c>
    </row>
    <row r="183" spans="1:7" x14ac:dyDescent="0.3">
      <c r="A183" s="39">
        <v>190</v>
      </c>
      <c r="B183" s="39">
        <v>190</v>
      </c>
      <c r="C183" s="40" t="s">
        <v>267</v>
      </c>
      <c r="D183" s="40" t="s">
        <v>267</v>
      </c>
      <c r="E183" s="40" t="s">
        <v>88</v>
      </c>
      <c r="F183" s="41">
        <v>1</v>
      </c>
      <c r="G183" s="40" t="s">
        <v>89</v>
      </c>
    </row>
    <row r="184" spans="1:7" x14ac:dyDescent="0.3">
      <c r="A184" s="39">
        <v>191</v>
      </c>
      <c r="B184" s="39">
        <v>191</v>
      </c>
      <c r="C184" s="40" t="s">
        <v>268</v>
      </c>
      <c r="D184" s="40" t="s">
        <v>268</v>
      </c>
      <c r="E184" s="40" t="s">
        <v>88</v>
      </c>
      <c r="F184" s="41">
        <v>1</v>
      </c>
      <c r="G184" s="40" t="s">
        <v>89</v>
      </c>
    </row>
    <row r="185" spans="1:7" x14ac:dyDescent="0.3">
      <c r="A185" s="39">
        <v>192</v>
      </c>
      <c r="B185" s="39">
        <v>192</v>
      </c>
      <c r="C185" s="40" t="s">
        <v>269</v>
      </c>
      <c r="D185" s="40" t="s">
        <v>269</v>
      </c>
      <c r="E185" s="40" t="s">
        <v>88</v>
      </c>
      <c r="F185" s="41">
        <v>1</v>
      </c>
      <c r="G185" s="40" t="s">
        <v>89</v>
      </c>
    </row>
    <row r="186" spans="1:7" x14ac:dyDescent="0.3">
      <c r="A186" s="39">
        <v>193</v>
      </c>
      <c r="B186" s="39">
        <v>193</v>
      </c>
      <c r="C186" s="40" t="s">
        <v>270</v>
      </c>
      <c r="D186" s="40" t="s">
        <v>270</v>
      </c>
      <c r="E186" s="40" t="s">
        <v>88</v>
      </c>
      <c r="F186" s="41">
        <v>1</v>
      </c>
      <c r="G186" s="40" t="s">
        <v>89</v>
      </c>
    </row>
    <row r="187" spans="1:7" x14ac:dyDescent="0.3">
      <c r="A187" s="39">
        <v>194</v>
      </c>
      <c r="B187" s="39">
        <v>194</v>
      </c>
      <c r="C187" s="40" t="s">
        <v>271</v>
      </c>
      <c r="D187" s="40" t="s">
        <v>271</v>
      </c>
      <c r="E187" s="40" t="s">
        <v>88</v>
      </c>
      <c r="F187" s="41">
        <v>1</v>
      </c>
      <c r="G187" s="40" t="s">
        <v>89</v>
      </c>
    </row>
    <row r="188" spans="1:7" x14ac:dyDescent="0.3">
      <c r="A188" s="39">
        <v>195</v>
      </c>
      <c r="B188" s="39">
        <v>195</v>
      </c>
      <c r="C188" s="40" t="s">
        <v>272</v>
      </c>
      <c r="D188" s="40" t="s">
        <v>272</v>
      </c>
      <c r="E188" s="40" t="s">
        <v>88</v>
      </c>
      <c r="F188" s="41">
        <v>1</v>
      </c>
      <c r="G188" s="40" t="s">
        <v>89</v>
      </c>
    </row>
    <row r="189" spans="1:7" x14ac:dyDescent="0.3">
      <c r="A189" s="39">
        <v>196</v>
      </c>
      <c r="B189" s="39">
        <v>196</v>
      </c>
      <c r="C189" s="40" t="s">
        <v>273</v>
      </c>
      <c r="D189" s="40" t="s">
        <v>273</v>
      </c>
      <c r="E189" s="40" t="s">
        <v>88</v>
      </c>
      <c r="F189" s="41">
        <v>1</v>
      </c>
      <c r="G189" s="40" t="s">
        <v>89</v>
      </c>
    </row>
    <row r="190" spans="1:7" x14ac:dyDescent="0.3">
      <c r="A190" s="39">
        <v>197</v>
      </c>
      <c r="B190" s="39">
        <v>197</v>
      </c>
      <c r="C190" s="40" t="s">
        <v>274</v>
      </c>
      <c r="D190" s="40" t="s">
        <v>274</v>
      </c>
      <c r="E190" s="40" t="s">
        <v>88</v>
      </c>
      <c r="F190" s="41">
        <v>1</v>
      </c>
      <c r="G190" s="40" t="s">
        <v>89</v>
      </c>
    </row>
    <row r="191" spans="1:7" x14ac:dyDescent="0.3">
      <c r="A191" s="39">
        <v>198</v>
      </c>
      <c r="B191" s="39">
        <v>198</v>
      </c>
      <c r="C191" s="40" t="s">
        <v>275</v>
      </c>
      <c r="D191" s="40" t="s">
        <v>275</v>
      </c>
      <c r="E191" s="40" t="s">
        <v>88</v>
      </c>
      <c r="F191" s="41">
        <v>1</v>
      </c>
      <c r="G191" s="40" t="s">
        <v>89</v>
      </c>
    </row>
    <row r="192" spans="1:7" x14ac:dyDescent="0.3">
      <c r="A192" s="39">
        <v>199</v>
      </c>
      <c r="B192" s="39">
        <v>199</v>
      </c>
      <c r="C192" s="40" t="s">
        <v>276</v>
      </c>
      <c r="D192" s="40" t="s">
        <v>276</v>
      </c>
      <c r="E192" s="40" t="s">
        <v>88</v>
      </c>
      <c r="F192" s="41">
        <v>1</v>
      </c>
      <c r="G192" s="40" t="s">
        <v>89</v>
      </c>
    </row>
    <row r="193" spans="1:7" x14ac:dyDescent="0.3">
      <c r="A193" s="39">
        <v>200</v>
      </c>
      <c r="B193" s="39">
        <v>200</v>
      </c>
      <c r="C193" s="40" t="s">
        <v>277</v>
      </c>
      <c r="D193" s="40" t="s">
        <v>277</v>
      </c>
      <c r="E193" s="40" t="s">
        <v>88</v>
      </c>
      <c r="F193" s="41">
        <v>1</v>
      </c>
      <c r="G193" s="40" t="s">
        <v>89</v>
      </c>
    </row>
    <row r="194" spans="1:7" x14ac:dyDescent="0.3">
      <c r="A194" s="39">
        <v>201</v>
      </c>
      <c r="B194" s="39">
        <v>201</v>
      </c>
      <c r="C194" s="40" t="s">
        <v>278</v>
      </c>
      <c r="D194" s="40" t="s">
        <v>278</v>
      </c>
      <c r="E194" s="40" t="s">
        <v>88</v>
      </c>
      <c r="F194" s="41">
        <v>1</v>
      </c>
      <c r="G194" s="40" t="s">
        <v>89</v>
      </c>
    </row>
    <row r="195" spans="1:7" x14ac:dyDescent="0.3">
      <c r="A195" s="39">
        <v>202</v>
      </c>
      <c r="B195" s="39">
        <v>202</v>
      </c>
      <c r="C195" s="40" t="s">
        <v>279</v>
      </c>
      <c r="D195" s="40" t="s">
        <v>279</v>
      </c>
      <c r="E195" s="40" t="s">
        <v>88</v>
      </c>
      <c r="F195" s="41">
        <v>1</v>
      </c>
      <c r="G195" s="40" t="s">
        <v>89</v>
      </c>
    </row>
    <row r="196" spans="1:7" x14ac:dyDescent="0.3">
      <c r="A196" s="39">
        <v>203</v>
      </c>
      <c r="B196" s="39">
        <v>203</v>
      </c>
      <c r="C196" s="40" t="s">
        <v>280</v>
      </c>
      <c r="D196" s="40" t="s">
        <v>280</v>
      </c>
      <c r="E196" s="40" t="s">
        <v>88</v>
      </c>
      <c r="F196" s="41">
        <v>1</v>
      </c>
      <c r="G196" s="40" t="s">
        <v>89</v>
      </c>
    </row>
    <row r="197" spans="1:7" x14ac:dyDescent="0.3">
      <c r="A197" s="39">
        <v>204</v>
      </c>
      <c r="B197" s="39">
        <v>204</v>
      </c>
      <c r="C197" s="40" t="s">
        <v>281</v>
      </c>
      <c r="D197" s="40" t="s">
        <v>281</v>
      </c>
      <c r="E197" s="40" t="s">
        <v>88</v>
      </c>
      <c r="F197" s="41">
        <v>1</v>
      </c>
      <c r="G197" s="40" t="s">
        <v>89</v>
      </c>
    </row>
    <row r="198" spans="1:7" x14ac:dyDescent="0.3">
      <c r="A198" s="39">
        <v>205</v>
      </c>
      <c r="B198" s="39">
        <v>205</v>
      </c>
      <c r="C198" s="40" t="s">
        <v>282</v>
      </c>
      <c r="D198" s="40" t="s">
        <v>282</v>
      </c>
      <c r="E198" s="40" t="s">
        <v>88</v>
      </c>
      <c r="F198" s="41">
        <v>1</v>
      </c>
      <c r="G198" s="40" t="s">
        <v>89</v>
      </c>
    </row>
    <row r="199" spans="1:7" x14ac:dyDescent="0.3">
      <c r="A199" s="39">
        <v>206</v>
      </c>
      <c r="B199" s="39">
        <v>206</v>
      </c>
      <c r="C199" s="40" t="s">
        <v>283</v>
      </c>
      <c r="D199" s="40" t="s">
        <v>283</v>
      </c>
      <c r="E199" s="40" t="s">
        <v>88</v>
      </c>
      <c r="F199" s="41">
        <v>1</v>
      </c>
      <c r="G199" s="40" t="s">
        <v>89</v>
      </c>
    </row>
    <row r="200" spans="1:7" x14ac:dyDescent="0.3">
      <c r="A200" s="39">
        <v>415</v>
      </c>
      <c r="B200" s="39">
        <v>415</v>
      </c>
      <c r="C200" s="40" t="s">
        <v>284</v>
      </c>
      <c r="D200" s="40" t="s">
        <v>284</v>
      </c>
      <c r="E200" s="40" t="s">
        <v>88</v>
      </c>
      <c r="F200" s="41">
        <v>1</v>
      </c>
      <c r="G200" s="40" t="s">
        <v>89</v>
      </c>
    </row>
    <row r="201" spans="1:7" x14ac:dyDescent="0.3">
      <c r="A201" s="39">
        <v>209</v>
      </c>
      <c r="B201" s="39">
        <v>209</v>
      </c>
      <c r="C201" s="40" t="s">
        <v>285</v>
      </c>
      <c r="D201" s="40" t="s">
        <v>285</v>
      </c>
      <c r="E201" s="40" t="s">
        <v>88</v>
      </c>
      <c r="F201" s="41">
        <v>1</v>
      </c>
      <c r="G201" s="40" t="s">
        <v>89</v>
      </c>
    </row>
    <row r="202" spans="1:7" x14ac:dyDescent="0.3">
      <c r="A202" s="39">
        <v>210</v>
      </c>
      <c r="B202" s="39">
        <v>210</v>
      </c>
      <c r="C202" s="40" t="s">
        <v>286</v>
      </c>
      <c r="D202" s="40" t="s">
        <v>286</v>
      </c>
      <c r="E202" s="40" t="s">
        <v>88</v>
      </c>
      <c r="F202" s="41">
        <v>1</v>
      </c>
      <c r="G202" s="40" t="s">
        <v>89</v>
      </c>
    </row>
    <row r="203" spans="1:7" x14ac:dyDescent="0.3">
      <c r="A203" s="39">
        <v>211</v>
      </c>
      <c r="B203" s="39">
        <v>211</v>
      </c>
      <c r="C203" s="40" t="s">
        <v>287</v>
      </c>
      <c r="D203" s="40" t="s">
        <v>287</v>
      </c>
      <c r="E203" s="40" t="s">
        <v>88</v>
      </c>
      <c r="F203" s="41">
        <v>1</v>
      </c>
      <c r="G203" s="40" t="s">
        <v>89</v>
      </c>
    </row>
    <row r="204" spans="1:7" x14ac:dyDescent="0.3">
      <c r="A204" s="39">
        <v>212</v>
      </c>
      <c r="B204" s="39">
        <v>212</v>
      </c>
      <c r="C204" s="40" t="s">
        <v>288</v>
      </c>
      <c r="D204" s="40" t="s">
        <v>288</v>
      </c>
      <c r="E204" s="40" t="s">
        <v>88</v>
      </c>
      <c r="F204" s="41">
        <v>1</v>
      </c>
      <c r="G204" s="40" t="s">
        <v>89</v>
      </c>
    </row>
    <row r="205" spans="1:7" x14ac:dyDescent="0.3">
      <c r="A205" s="39">
        <v>213</v>
      </c>
      <c r="B205" s="39">
        <v>213</v>
      </c>
      <c r="C205" s="40" t="s">
        <v>289</v>
      </c>
      <c r="D205" s="40" t="s">
        <v>289</v>
      </c>
      <c r="E205" s="40" t="s">
        <v>88</v>
      </c>
      <c r="F205" s="41">
        <v>1</v>
      </c>
      <c r="G205" s="40" t="s">
        <v>89</v>
      </c>
    </row>
    <row r="206" spans="1:7" x14ac:dyDescent="0.3">
      <c r="A206" s="39">
        <v>214</v>
      </c>
      <c r="B206" s="39">
        <v>214</v>
      </c>
      <c r="C206" s="40" t="s">
        <v>290</v>
      </c>
      <c r="D206" s="40" t="s">
        <v>290</v>
      </c>
      <c r="E206" s="40" t="s">
        <v>88</v>
      </c>
      <c r="F206" s="41">
        <v>1</v>
      </c>
      <c r="G206" s="40" t="s">
        <v>89</v>
      </c>
    </row>
    <row r="207" spans="1:7" x14ac:dyDescent="0.3">
      <c r="A207" s="39">
        <v>215</v>
      </c>
      <c r="B207" s="39">
        <v>215</v>
      </c>
      <c r="C207" s="40" t="s">
        <v>291</v>
      </c>
      <c r="D207" s="40" t="s">
        <v>291</v>
      </c>
      <c r="E207" s="40" t="s">
        <v>88</v>
      </c>
      <c r="F207" s="41">
        <v>1</v>
      </c>
      <c r="G207" s="40" t="s">
        <v>89</v>
      </c>
    </row>
    <row r="208" spans="1:7" x14ac:dyDescent="0.3">
      <c r="A208" s="39">
        <v>216</v>
      </c>
      <c r="B208" s="39">
        <v>216</v>
      </c>
      <c r="C208" s="40" t="s">
        <v>292</v>
      </c>
      <c r="D208" s="40" t="s">
        <v>292</v>
      </c>
      <c r="E208" s="40" t="s">
        <v>88</v>
      </c>
      <c r="F208" s="41">
        <v>1</v>
      </c>
      <c r="G208" s="40" t="s">
        <v>89</v>
      </c>
    </row>
    <row r="209" spans="1:7" x14ac:dyDescent="0.3">
      <c r="A209" s="39">
        <v>217</v>
      </c>
      <c r="B209" s="39">
        <v>217</v>
      </c>
      <c r="C209" s="40" t="s">
        <v>293</v>
      </c>
      <c r="D209" s="40" t="s">
        <v>293</v>
      </c>
      <c r="E209" s="40" t="s">
        <v>88</v>
      </c>
      <c r="F209" s="41">
        <v>1</v>
      </c>
      <c r="G209" s="40" t="s">
        <v>89</v>
      </c>
    </row>
    <row r="210" spans="1:7" x14ac:dyDescent="0.3">
      <c r="A210" s="39">
        <v>218</v>
      </c>
      <c r="B210" s="39">
        <v>218</v>
      </c>
      <c r="C210" s="40" t="s">
        <v>294</v>
      </c>
      <c r="D210" s="40" t="s">
        <v>294</v>
      </c>
      <c r="E210" s="40" t="s">
        <v>88</v>
      </c>
      <c r="F210" s="41">
        <v>1</v>
      </c>
      <c r="G210" s="40" t="s">
        <v>89</v>
      </c>
    </row>
    <row r="211" spans="1:7" x14ac:dyDescent="0.3">
      <c r="A211" s="39">
        <v>219</v>
      </c>
      <c r="B211" s="39">
        <v>219</v>
      </c>
      <c r="C211" s="40" t="s">
        <v>295</v>
      </c>
      <c r="D211" s="40" t="s">
        <v>295</v>
      </c>
      <c r="E211" s="40" t="s">
        <v>88</v>
      </c>
      <c r="F211" s="41">
        <v>1</v>
      </c>
      <c r="G211" s="40" t="s">
        <v>89</v>
      </c>
    </row>
    <row r="212" spans="1:7" x14ac:dyDescent="0.3">
      <c r="A212" s="39">
        <v>220</v>
      </c>
      <c r="B212" s="39">
        <v>220</v>
      </c>
      <c r="C212" s="40" t="s">
        <v>296</v>
      </c>
      <c r="D212" s="40" t="s">
        <v>296</v>
      </c>
      <c r="E212" s="40" t="s">
        <v>88</v>
      </c>
      <c r="F212" s="41">
        <v>1</v>
      </c>
      <c r="G212" s="40" t="s">
        <v>89</v>
      </c>
    </row>
    <row r="213" spans="1:7" x14ac:dyDescent="0.3">
      <c r="A213" s="39">
        <v>221</v>
      </c>
      <c r="B213" s="39">
        <v>221</v>
      </c>
      <c r="C213" s="40" t="s">
        <v>297</v>
      </c>
      <c r="D213" s="40" t="s">
        <v>297</v>
      </c>
      <c r="E213" s="40" t="s">
        <v>88</v>
      </c>
      <c r="F213" s="41">
        <v>1</v>
      </c>
      <c r="G213" s="40" t="s">
        <v>89</v>
      </c>
    </row>
    <row r="214" spans="1:7" x14ac:dyDescent="0.3">
      <c r="A214" s="39">
        <v>222</v>
      </c>
      <c r="B214" s="39">
        <v>222</v>
      </c>
      <c r="C214" s="40" t="s">
        <v>298</v>
      </c>
      <c r="D214" s="40" t="s">
        <v>298</v>
      </c>
      <c r="E214" s="40" t="s">
        <v>88</v>
      </c>
      <c r="F214" s="41">
        <v>1</v>
      </c>
      <c r="G214" s="40" t="s">
        <v>89</v>
      </c>
    </row>
    <row r="215" spans="1:7" x14ac:dyDescent="0.3">
      <c r="A215" s="39">
        <v>223</v>
      </c>
      <c r="B215" s="39">
        <v>223</v>
      </c>
      <c r="C215" s="40" t="s">
        <v>299</v>
      </c>
      <c r="D215" s="40" t="s">
        <v>299</v>
      </c>
      <c r="E215" s="40" t="s">
        <v>88</v>
      </c>
      <c r="F215" s="41">
        <v>1</v>
      </c>
      <c r="G215" s="40" t="s">
        <v>89</v>
      </c>
    </row>
    <row r="216" spans="1:7" x14ac:dyDescent="0.3">
      <c r="A216" s="39">
        <v>224</v>
      </c>
      <c r="B216" s="39">
        <v>224</v>
      </c>
      <c r="C216" s="40" t="s">
        <v>300</v>
      </c>
      <c r="D216" s="40" t="s">
        <v>300</v>
      </c>
      <c r="E216" s="40" t="s">
        <v>88</v>
      </c>
      <c r="F216" s="41">
        <v>1</v>
      </c>
      <c r="G216" s="40" t="s">
        <v>89</v>
      </c>
    </row>
    <row r="217" spans="1:7" x14ac:dyDescent="0.3">
      <c r="A217" s="39">
        <v>225</v>
      </c>
      <c r="B217" s="39">
        <v>225</v>
      </c>
      <c r="C217" s="40" t="s">
        <v>301</v>
      </c>
      <c r="D217" s="40" t="s">
        <v>301</v>
      </c>
      <c r="E217" s="40" t="s">
        <v>88</v>
      </c>
      <c r="F217" s="41">
        <v>1</v>
      </c>
      <c r="G217" s="40" t="s">
        <v>89</v>
      </c>
    </row>
    <row r="218" spans="1:7" x14ac:dyDescent="0.3">
      <c r="A218" s="39">
        <v>226</v>
      </c>
      <c r="B218" s="39">
        <v>226</v>
      </c>
      <c r="C218" s="40" t="s">
        <v>302</v>
      </c>
      <c r="D218" s="40" t="s">
        <v>302</v>
      </c>
      <c r="E218" s="40" t="s">
        <v>88</v>
      </c>
      <c r="F218" s="41">
        <v>1</v>
      </c>
      <c r="G218" s="40" t="s">
        <v>89</v>
      </c>
    </row>
    <row r="219" spans="1:7" x14ac:dyDescent="0.3">
      <c r="A219" s="39">
        <v>227</v>
      </c>
      <c r="B219" s="39">
        <v>227</v>
      </c>
      <c r="C219" s="40" t="s">
        <v>303</v>
      </c>
      <c r="D219" s="40" t="s">
        <v>303</v>
      </c>
      <c r="E219" s="40" t="s">
        <v>88</v>
      </c>
      <c r="F219" s="41">
        <v>1</v>
      </c>
      <c r="G219" s="40" t="s">
        <v>89</v>
      </c>
    </row>
    <row r="220" spans="1:7" x14ac:dyDescent="0.3">
      <c r="A220" s="39">
        <v>228</v>
      </c>
      <c r="B220" s="39">
        <v>228</v>
      </c>
      <c r="C220" s="40" t="s">
        <v>304</v>
      </c>
      <c r="D220" s="40" t="s">
        <v>304</v>
      </c>
      <c r="E220" s="40" t="s">
        <v>88</v>
      </c>
      <c r="F220" s="41">
        <v>1</v>
      </c>
      <c r="G220" s="40" t="s">
        <v>89</v>
      </c>
    </row>
    <row r="221" spans="1:7" x14ac:dyDescent="0.3">
      <c r="A221" s="39">
        <v>459</v>
      </c>
      <c r="B221" s="39">
        <v>459</v>
      </c>
      <c r="C221" s="40" t="s">
        <v>305</v>
      </c>
      <c r="D221" s="40" t="s">
        <v>305</v>
      </c>
      <c r="E221" s="40" t="s">
        <v>88</v>
      </c>
      <c r="F221" s="41">
        <v>1</v>
      </c>
      <c r="G221" s="40" t="s">
        <v>89</v>
      </c>
    </row>
    <row r="222" spans="1:7" x14ac:dyDescent="0.3">
      <c r="A222" s="39">
        <v>773</v>
      </c>
      <c r="B222" s="39">
        <v>773</v>
      </c>
      <c r="C222" s="40" t="s">
        <v>306</v>
      </c>
      <c r="D222" s="40" t="s">
        <v>306</v>
      </c>
      <c r="E222" s="40" t="s">
        <v>88</v>
      </c>
      <c r="F222" s="41">
        <v>1</v>
      </c>
      <c r="G222" s="40" t="s">
        <v>89</v>
      </c>
    </row>
    <row r="223" spans="1:7" x14ac:dyDescent="0.3">
      <c r="A223" s="39">
        <v>232</v>
      </c>
      <c r="B223" s="39">
        <v>232</v>
      </c>
      <c r="C223" s="40" t="s">
        <v>307</v>
      </c>
      <c r="D223" s="40" t="s">
        <v>307</v>
      </c>
      <c r="E223" s="40" t="s">
        <v>88</v>
      </c>
      <c r="F223" s="41">
        <v>1</v>
      </c>
      <c r="G223" s="40" t="s">
        <v>89</v>
      </c>
    </row>
    <row r="224" spans="1:7" x14ac:dyDescent="0.3">
      <c r="A224" s="39">
        <v>233</v>
      </c>
      <c r="B224" s="39">
        <v>233</v>
      </c>
      <c r="C224" s="40" t="s">
        <v>308</v>
      </c>
      <c r="D224" s="40" t="s">
        <v>308</v>
      </c>
      <c r="E224" s="40" t="s">
        <v>88</v>
      </c>
      <c r="F224" s="41">
        <v>1</v>
      </c>
      <c r="G224" s="40" t="s">
        <v>89</v>
      </c>
    </row>
    <row r="225" spans="1:7" x14ac:dyDescent="0.3">
      <c r="A225" s="39">
        <v>234</v>
      </c>
      <c r="B225" s="39">
        <v>234</v>
      </c>
      <c r="C225" s="40" t="s">
        <v>309</v>
      </c>
      <c r="D225" s="40" t="s">
        <v>309</v>
      </c>
      <c r="E225" s="40" t="s">
        <v>88</v>
      </c>
      <c r="F225" s="41">
        <v>1</v>
      </c>
      <c r="G225" s="40" t="s">
        <v>89</v>
      </c>
    </row>
    <row r="226" spans="1:7" x14ac:dyDescent="0.3">
      <c r="A226" s="39">
        <v>235</v>
      </c>
      <c r="B226" s="39">
        <v>235</v>
      </c>
      <c r="C226" s="40" t="s">
        <v>310</v>
      </c>
      <c r="D226" s="40" t="s">
        <v>310</v>
      </c>
      <c r="E226" s="40" t="s">
        <v>88</v>
      </c>
      <c r="F226" s="41">
        <v>1</v>
      </c>
      <c r="G226" s="40" t="s">
        <v>89</v>
      </c>
    </row>
    <row r="227" spans="1:7" x14ac:dyDescent="0.3">
      <c r="A227" s="39">
        <v>236</v>
      </c>
      <c r="B227" s="39">
        <v>236</v>
      </c>
      <c r="C227" s="40" t="s">
        <v>311</v>
      </c>
      <c r="D227" s="40" t="s">
        <v>311</v>
      </c>
      <c r="E227" s="40" t="s">
        <v>88</v>
      </c>
      <c r="F227" s="41">
        <v>1</v>
      </c>
      <c r="G227" s="40" t="s">
        <v>89</v>
      </c>
    </row>
    <row r="228" spans="1:7" x14ac:dyDescent="0.3">
      <c r="A228" s="39">
        <v>237</v>
      </c>
      <c r="B228" s="39">
        <v>237</v>
      </c>
      <c r="C228" s="40" t="s">
        <v>312</v>
      </c>
      <c r="D228" s="40" t="s">
        <v>312</v>
      </c>
      <c r="E228" s="40" t="s">
        <v>88</v>
      </c>
      <c r="F228" s="41">
        <v>1</v>
      </c>
      <c r="G228" s="40" t="s">
        <v>89</v>
      </c>
    </row>
    <row r="229" spans="1:7" x14ac:dyDescent="0.3">
      <c r="A229" s="39">
        <v>238</v>
      </c>
      <c r="B229" s="39">
        <v>238</v>
      </c>
      <c r="C229" s="40" t="s">
        <v>313</v>
      </c>
      <c r="D229" s="40" t="s">
        <v>313</v>
      </c>
      <c r="E229" s="40" t="s">
        <v>88</v>
      </c>
      <c r="F229" s="41">
        <v>1</v>
      </c>
      <c r="G229" s="40" t="s">
        <v>89</v>
      </c>
    </row>
    <row r="230" spans="1:7" x14ac:dyDescent="0.3">
      <c r="A230" s="39">
        <v>239</v>
      </c>
      <c r="B230" s="39">
        <v>239</v>
      </c>
      <c r="C230" s="40" t="s">
        <v>314</v>
      </c>
      <c r="D230" s="40" t="s">
        <v>314</v>
      </c>
      <c r="E230" s="40" t="s">
        <v>88</v>
      </c>
      <c r="F230" s="41">
        <v>1</v>
      </c>
      <c r="G230" s="40" t="s">
        <v>89</v>
      </c>
    </row>
    <row r="231" spans="1:7" x14ac:dyDescent="0.3">
      <c r="A231" s="39">
        <v>780</v>
      </c>
      <c r="B231" s="39">
        <v>780</v>
      </c>
      <c r="C231" s="40" t="s">
        <v>315</v>
      </c>
      <c r="D231" s="40" t="s">
        <v>315</v>
      </c>
      <c r="E231" s="40" t="s">
        <v>88</v>
      </c>
      <c r="F231" s="41">
        <v>1</v>
      </c>
      <c r="G231" s="40" t="s">
        <v>89</v>
      </c>
    </row>
    <row r="232" spans="1:7" x14ac:dyDescent="0.3">
      <c r="A232" s="39">
        <v>241</v>
      </c>
      <c r="B232" s="39">
        <v>241</v>
      </c>
      <c r="C232" s="40" t="s">
        <v>316</v>
      </c>
      <c r="D232" s="40" t="s">
        <v>316</v>
      </c>
      <c r="E232" s="40" t="s">
        <v>88</v>
      </c>
      <c r="F232" s="41">
        <v>1</v>
      </c>
      <c r="G232" s="40" t="s">
        <v>89</v>
      </c>
    </row>
    <row r="233" spans="1:7" x14ac:dyDescent="0.3">
      <c r="A233" s="39">
        <v>242</v>
      </c>
      <c r="B233" s="39">
        <v>242</v>
      </c>
      <c r="C233" s="40" t="s">
        <v>317</v>
      </c>
      <c r="D233" s="40" t="s">
        <v>317</v>
      </c>
      <c r="E233" s="40" t="s">
        <v>88</v>
      </c>
      <c r="F233" s="41">
        <v>1</v>
      </c>
      <c r="G233" s="40" t="s">
        <v>89</v>
      </c>
    </row>
    <row r="234" spans="1:7" x14ac:dyDescent="0.3">
      <c r="A234" s="39">
        <v>243</v>
      </c>
      <c r="B234" s="39">
        <v>243</v>
      </c>
      <c r="C234" s="40" t="s">
        <v>318</v>
      </c>
      <c r="D234" s="40" t="s">
        <v>318</v>
      </c>
      <c r="E234" s="40" t="s">
        <v>88</v>
      </c>
      <c r="F234" s="41">
        <v>1</v>
      </c>
      <c r="G234" s="40" t="s">
        <v>89</v>
      </c>
    </row>
    <row r="235" spans="1:7" x14ac:dyDescent="0.3">
      <c r="A235" s="39">
        <v>244</v>
      </c>
      <c r="B235" s="39">
        <v>244</v>
      </c>
      <c r="C235" s="40" t="s">
        <v>319</v>
      </c>
      <c r="D235" s="40" t="s">
        <v>319</v>
      </c>
      <c r="E235" s="40" t="s">
        <v>88</v>
      </c>
      <c r="F235" s="41">
        <v>1</v>
      </c>
      <c r="G235" s="40" t="s">
        <v>89</v>
      </c>
    </row>
    <row r="236" spans="1:7" x14ac:dyDescent="0.3">
      <c r="A236" s="39">
        <v>245</v>
      </c>
      <c r="B236" s="39">
        <v>245</v>
      </c>
      <c r="C236" s="40" t="s">
        <v>320</v>
      </c>
      <c r="D236" s="40" t="s">
        <v>320</v>
      </c>
      <c r="E236" s="40" t="s">
        <v>88</v>
      </c>
      <c r="F236" s="41">
        <v>1</v>
      </c>
      <c r="G236" s="40" t="s">
        <v>89</v>
      </c>
    </row>
    <row r="237" spans="1:7" x14ac:dyDescent="0.3">
      <c r="A237" s="39">
        <v>246</v>
      </c>
      <c r="B237" s="39">
        <v>246</v>
      </c>
      <c r="C237" s="40" t="s">
        <v>321</v>
      </c>
      <c r="D237" s="40" t="s">
        <v>321</v>
      </c>
      <c r="E237" s="40" t="s">
        <v>88</v>
      </c>
      <c r="F237" s="41">
        <v>1</v>
      </c>
      <c r="G237" s="40" t="s">
        <v>89</v>
      </c>
    </row>
    <row r="238" spans="1:7" x14ac:dyDescent="0.3">
      <c r="A238" s="39">
        <v>247</v>
      </c>
      <c r="B238" s="39">
        <v>247</v>
      </c>
      <c r="C238" s="40" t="s">
        <v>322</v>
      </c>
      <c r="D238" s="40" t="s">
        <v>322</v>
      </c>
      <c r="E238" s="40" t="s">
        <v>88</v>
      </c>
      <c r="F238" s="41">
        <v>1</v>
      </c>
      <c r="G238" s="40" t="s">
        <v>89</v>
      </c>
    </row>
    <row r="239" spans="1:7" x14ac:dyDescent="0.3">
      <c r="A239" s="39">
        <v>248</v>
      </c>
      <c r="B239" s="39">
        <v>248</v>
      </c>
      <c r="C239" s="40" t="s">
        <v>323</v>
      </c>
      <c r="D239" s="40" t="s">
        <v>323</v>
      </c>
      <c r="E239" s="40" t="s">
        <v>88</v>
      </c>
      <c r="F239" s="41">
        <v>1</v>
      </c>
      <c r="G239" s="40" t="s">
        <v>89</v>
      </c>
    </row>
    <row r="240" spans="1:7" x14ac:dyDescent="0.3">
      <c r="A240" s="39">
        <v>249</v>
      </c>
      <c r="B240" s="39">
        <v>249</v>
      </c>
      <c r="C240" s="40" t="s">
        <v>324</v>
      </c>
      <c r="D240" s="40" t="s">
        <v>324</v>
      </c>
      <c r="E240" s="40" t="s">
        <v>88</v>
      </c>
      <c r="F240" s="41">
        <v>1</v>
      </c>
      <c r="G240" s="40" t="s">
        <v>89</v>
      </c>
    </row>
    <row r="241" spans="1:7" x14ac:dyDescent="0.3">
      <c r="A241" s="39">
        <v>250</v>
      </c>
      <c r="B241" s="39">
        <v>250</v>
      </c>
      <c r="C241" s="40" t="s">
        <v>325</v>
      </c>
      <c r="D241" s="40" t="s">
        <v>325</v>
      </c>
      <c r="E241" s="40" t="s">
        <v>88</v>
      </c>
      <c r="F241" s="41">
        <v>1</v>
      </c>
      <c r="G241" s="40" t="s">
        <v>89</v>
      </c>
    </row>
    <row r="242" spans="1:7" x14ac:dyDescent="0.3">
      <c r="A242" s="39">
        <v>251</v>
      </c>
      <c r="B242" s="39">
        <v>251</v>
      </c>
      <c r="C242" s="40" t="s">
        <v>326</v>
      </c>
      <c r="D242" s="40" t="s">
        <v>326</v>
      </c>
      <c r="E242" s="40" t="s">
        <v>88</v>
      </c>
      <c r="F242" s="41">
        <v>1</v>
      </c>
      <c r="G242" s="40" t="s">
        <v>89</v>
      </c>
    </row>
    <row r="243" spans="1:7" x14ac:dyDescent="0.3">
      <c r="A243" s="39">
        <v>252</v>
      </c>
      <c r="B243" s="39">
        <v>252</v>
      </c>
      <c r="C243" s="40" t="s">
        <v>327</v>
      </c>
      <c r="D243" s="40" t="s">
        <v>327</v>
      </c>
      <c r="E243" s="40" t="s">
        <v>88</v>
      </c>
      <c r="F243" s="41">
        <v>1</v>
      </c>
      <c r="G243" s="40" t="s">
        <v>89</v>
      </c>
    </row>
    <row r="244" spans="1:7" x14ac:dyDescent="0.3">
      <c r="A244" s="39">
        <v>253</v>
      </c>
      <c r="B244" s="39">
        <v>253</v>
      </c>
      <c r="C244" s="40" t="s">
        <v>328</v>
      </c>
      <c r="D244" s="40" t="s">
        <v>328</v>
      </c>
      <c r="E244" s="40" t="s">
        <v>88</v>
      </c>
      <c r="F244" s="41">
        <v>1</v>
      </c>
      <c r="G244" s="40" t="s">
        <v>89</v>
      </c>
    </row>
    <row r="245" spans="1:7" x14ac:dyDescent="0.3">
      <c r="A245" s="39">
        <v>254</v>
      </c>
      <c r="B245" s="39">
        <v>254</v>
      </c>
      <c r="C245" s="40" t="s">
        <v>329</v>
      </c>
      <c r="D245" s="40" t="s">
        <v>329</v>
      </c>
      <c r="E245" s="40" t="s">
        <v>88</v>
      </c>
      <c r="F245" s="41">
        <v>1</v>
      </c>
      <c r="G245" s="40" t="s">
        <v>89</v>
      </c>
    </row>
    <row r="246" spans="1:7" x14ac:dyDescent="0.3">
      <c r="A246" s="39">
        <v>255</v>
      </c>
      <c r="B246" s="39">
        <v>255</v>
      </c>
      <c r="C246" s="40" t="s">
        <v>330</v>
      </c>
      <c r="D246" s="40" t="s">
        <v>330</v>
      </c>
      <c r="E246" s="40" t="s">
        <v>88</v>
      </c>
      <c r="F246" s="41">
        <v>1</v>
      </c>
      <c r="G246" s="40" t="s">
        <v>89</v>
      </c>
    </row>
    <row r="247" spans="1:7" x14ac:dyDescent="0.3">
      <c r="A247" s="39">
        <v>256</v>
      </c>
      <c r="B247" s="39">
        <v>256</v>
      </c>
      <c r="C247" s="40" t="s">
        <v>331</v>
      </c>
      <c r="D247" s="40" t="s">
        <v>331</v>
      </c>
      <c r="E247" s="40" t="s">
        <v>88</v>
      </c>
      <c r="F247" s="41">
        <v>1</v>
      </c>
      <c r="G247" s="40" t="s">
        <v>89</v>
      </c>
    </row>
    <row r="248" spans="1:7" x14ac:dyDescent="0.3">
      <c r="A248" s="39">
        <v>257</v>
      </c>
      <c r="B248" s="39">
        <v>257</v>
      </c>
      <c r="C248" s="40" t="s">
        <v>332</v>
      </c>
      <c r="D248" s="40" t="s">
        <v>332</v>
      </c>
      <c r="E248" s="40" t="s">
        <v>88</v>
      </c>
      <c r="F248" s="41">
        <v>1</v>
      </c>
      <c r="G248" s="40" t="s">
        <v>89</v>
      </c>
    </row>
    <row r="249" spans="1:7" x14ac:dyDescent="0.3">
      <c r="A249" s="39">
        <v>258</v>
      </c>
      <c r="B249" s="39">
        <v>258</v>
      </c>
      <c r="C249" s="40" t="s">
        <v>333</v>
      </c>
      <c r="D249" s="40" t="s">
        <v>333</v>
      </c>
      <c r="E249" s="40" t="s">
        <v>88</v>
      </c>
      <c r="F249" s="41">
        <v>1</v>
      </c>
      <c r="G249" s="40" t="s">
        <v>89</v>
      </c>
    </row>
    <row r="250" spans="1:7" x14ac:dyDescent="0.3">
      <c r="A250" s="39">
        <v>259</v>
      </c>
      <c r="B250" s="39">
        <v>259</v>
      </c>
      <c r="C250" s="40" t="s">
        <v>334</v>
      </c>
      <c r="D250" s="40" t="s">
        <v>334</v>
      </c>
      <c r="E250" s="40" t="s">
        <v>88</v>
      </c>
      <c r="F250" s="41">
        <v>1</v>
      </c>
      <c r="G250" s="40" t="s">
        <v>89</v>
      </c>
    </row>
    <row r="251" spans="1:7" x14ac:dyDescent="0.3">
      <c r="A251" s="39">
        <v>260</v>
      </c>
      <c r="B251" s="39">
        <v>260</v>
      </c>
      <c r="C251" s="40" t="s">
        <v>335</v>
      </c>
      <c r="D251" s="40" t="s">
        <v>335</v>
      </c>
      <c r="E251" s="40" t="s">
        <v>88</v>
      </c>
      <c r="F251" s="41">
        <v>1</v>
      </c>
      <c r="G251" s="40" t="s">
        <v>89</v>
      </c>
    </row>
    <row r="252" spans="1:7" x14ac:dyDescent="0.3">
      <c r="A252" s="39">
        <v>261</v>
      </c>
      <c r="B252" s="39">
        <v>261</v>
      </c>
      <c r="C252" s="40" t="s">
        <v>336</v>
      </c>
      <c r="D252" s="40" t="s">
        <v>336</v>
      </c>
      <c r="E252" s="40" t="s">
        <v>88</v>
      </c>
      <c r="F252" s="41">
        <v>1</v>
      </c>
      <c r="G252" s="40" t="s">
        <v>89</v>
      </c>
    </row>
    <row r="253" spans="1:7" x14ac:dyDescent="0.3">
      <c r="A253" s="39">
        <v>262</v>
      </c>
      <c r="B253" s="39">
        <v>262</v>
      </c>
      <c r="C253" s="40" t="s">
        <v>337</v>
      </c>
      <c r="D253" s="40" t="s">
        <v>337</v>
      </c>
      <c r="E253" s="40" t="s">
        <v>88</v>
      </c>
      <c r="F253" s="41">
        <v>1</v>
      </c>
      <c r="G253" s="40" t="s">
        <v>89</v>
      </c>
    </row>
    <row r="254" spans="1:7" x14ac:dyDescent="0.3">
      <c r="A254" s="39">
        <v>263</v>
      </c>
      <c r="B254" s="39">
        <v>263</v>
      </c>
      <c r="C254" s="40" t="s">
        <v>338</v>
      </c>
      <c r="D254" s="40" t="s">
        <v>338</v>
      </c>
      <c r="E254" s="40" t="s">
        <v>88</v>
      </c>
      <c r="F254" s="41">
        <v>1</v>
      </c>
      <c r="G254" s="40" t="s">
        <v>89</v>
      </c>
    </row>
    <row r="255" spans="1:7" x14ac:dyDescent="0.3">
      <c r="A255" s="39">
        <v>264</v>
      </c>
      <c r="B255" s="39">
        <v>264</v>
      </c>
      <c r="C255" s="40" t="s">
        <v>339</v>
      </c>
      <c r="D255" s="40" t="s">
        <v>339</v>
      </c>
      <c r="E255" s="40" t="s">
        <v>88</v>
      </c>
      <c r="F255" s="41">
        <v>1</v>
      </c>
      <c r="G255" s="40" t="s">
        <v>89</v>
      </c>
    </row>
    <row r="256" spans="1:7" x14ac:dyDescent="0.3">
      <c r="A256" s="39">
        <v>265</v>
      </c>
      <c r="B256" s="39">
        <v>265</v>
      </c>
      <c r="C256" s="40" t="s">
        <v>340</v>
      </c>
      <c r="D256" s="40" t="s">
        <v>340</v>
      </c>
      <c r="E256" s="40" t="s">
        <v>88</v>
      </c>
      <c r="F256" s="41">
        <v>1</v>
      </c>
      <c r="G256" s="40" t="s">
        <v>89</v>
      </c>
    </row>
    <row r="257" spans="1:7" x14ac:dyDescent="0.3">
      <c r="A257" s="39">
        <v>266</v>
      </c>
      <c r="B257" s="39">
        <v>266</v>
      </c>
      <c r="C257" s="40" t="s">
        <v>341</v>
      </c>
      <c r="D257" s="40" t="s">
        <v>341</v>
      </c>
      <c r="E257" s="40" t="s">
        <v>88</v>
      </c>
      <c r="F257" s="41">
        <v>1</v>
      </c>
      <c r="G257" s="40" t="s">
        <v>89</v>
      </c>
    </row>
    <row r="258" spans="1:7" x14ac:dyDescent="0.3">
      <c r="A258" s="39">
        <v>267</v>
      </c>
      <c r="B258" s="39">
        <v>267</v>
      </c>
      <c r="C258" s="40" t="s">
        <v>342</v>
      </c>
      <c r="D258" s="40" t="s">
        <v>342</v>
      </c>
      <c r="E258" s="40" t="s">
        <v>88</v>
      </c>
      <c r="F258" s="41">
        <v>1</v>
      </c>
      <c r="G258" s="40" t="s">
        <v>89</v>
      </c>
    </row>
    <row r="259" spans="1:7" x14ac:dyDescent="0.3">
      <c r="A259" s="39">
        <v>268</v>
      </c>
      <c r="B259" s="39">
        <v>268</v>
      </c>
      <c r="C259" s="40" t="s">
        <v>343</v>
      </c>
      <c r="D259" s="40" t="s">
        <v>343</v>
      </c>
      <c r="E259" s="40" t="s">
        <v>88</v>
      </c>
      <c r="F259" s="41">
        <v>1</v>
      </c>
      <c r="G259" s="40" t="s">
        <v>89</v>
      </c>
    </row>
    <row r="260" spans="1:7" x14ac:dyDescent="0.3">
      <c r="A260" s="39">
        <v>269</v>
      </c>
      <c r="B260" s="39">
        <v>269</v>
      </c>
      <c r="C260" s="40" t="s">
        <v>344</v>
      </c>
      <c r="D260" s="40" t="s">
        <v>344</v>
      </c>
      <c r="E260" s="40" t="s">
        <v>88</v>
      </c>
      <c r="F260" s="41">
        <v>1</v>
      </c>
      <c r="G260" s="40" t="s">
        <v>89</v>
      </c>
    </row>
    <row r="261" spans="1:7" x14ac:dyDescent="0.3">
      <c r="A261" s="39">
        <v>270</v>
      </c>
      <c r="B261" s="39">
        <v>270</v>
      </c>
      <c r="C261" s="40" t="s">
        <v>345</v>
      </c>
      <c r="D261" s="40" t="s">
        <v>345</v>
      </c>
      <c r="E261" s="40" t="s">
        <v>88</v>
      </c>
      <c r="F261" s="41">
        <v>1</v>
      </c>
      <c r="G261" s="40" t="s">
        <v>89</v>
      </c>
    </row>
    <row r="262" spans="1:7" x14ac:dyDescent="0.3">
      <c r="A262" s="39">
        <v>271</v>
      </c>
      <c r="B262" s="39">
        <v>271</v>
      </c>
      <c r="C262" s="40" t="s">
        <v>346</v>
      </c>
      <c r="D262" s="40" t="s">
        <v>346</v>
      </c>
      <c r="E262" s="40" t="s">
        <v>88</v>
      </c>
      <c r="F262" s="41">
        <v>1</v>
      </c>
      <c r="G262" s="40" t="s">
        <v>89</v>
      </c>
    </row>
    <row r="263" spans="1:7" x14ac:dyDescent="0.3">
      <c r="A263" s="39">
        <v>272</v>
      </c>
      <c r="B263" s="39">
        <v>272</v>
      </c>
      <c r="C263" s="40" t="s">
        <v>347</v>
      </c>
      <c r="D263" s="40" t="s">
        <v>347</v>
      </c>
      <c r="E263" s="40" t="s">
        <v>88</v>
      </c>
      <c r="F263" s="41">
        <v>1</v>
      </c>
      <c r="G263" s="40" t="s">
        <v>89</v>
      </c>
    </row>
    <row r="264" spans="1:7" x14ac:dyDescent="0.3">
      <c r="A264" s="39">
        <v>273</v>
      </c>
      <c r="B264" s="39">
        <v>273</v>
      </c>
      <c r="C264" s="40" t="s">
        <v>348</v>
      </c>
      <c r="D264" s="40" t="s">
        <v>348</v>
      </c>
      <c r="E264" s="40" t="s">
        <v>88</v>
      </c>
      <c r="F264" s="41">
        <v>1</v>
      </c>
      <c r="G264" s="40" t="s">
        <v>89</v>
      </c>
    </row>
    <row r="265" spans="1:7" x14ac:dyDescent="0.3">
      <c r="A265" s="39">
        <v>274</v>
      </c>
      <c r="B265" s="39">
        <v>274</v>
      </c>
      <c r="C265" s="40" t="s">
        <v>349</v>
      </c>
      <c r="D265" s="40" t="s">
        <v>349</v>
      </c>
      <c r="E265" s="40" t="s">
        <v>88</v>
      </c>
      <c r="F265" s="41">
        <v>1</v>
      </c>
      <c r="G265" s="40" t="s">
        <v>89</v>
      </c>
    </row>
    <row r="266" spans="1:7" x14ac:dyDescent="0.3">
      <c r="A266" s="39">
        <v>275</v>
      </c>
      <c r="B266" s="39">
        <v>275</v>
      </c>
      <c r="C266" s="40" t="s">
        <v>350</v>
      </c>
      <c r="D266" s="40" t="s">
        <v>350</v>
      </c>
      <c r="E266" s="40" t="s">
        <v>88</v>
      </c>
      <c r="F266" s="41">
        <v>1</v>
      </c>
      <c r="G266" s="40" t="s">
        <v>89</v>
      </c>
    </row>
    <row r="267" spans="1:7" x14ac:dyDescent="0.3">
      <c r="A267" s="39">
        <v>276</v>
      </c>
      <c r="B267" s="39">
        <v>276</v>
      </c>
      <c r="C267" s="40" t="s">
        <v>351</v>
      </c>
      <c r="D267" s="40" t="s">
        <v>351</v>
      </c>
      <c r="E267" s="40" t="s">
        <v>88</v>
      </c>
      <c r="F267" s="41">
        <v>1</v>
      </c>
      <c r="G267" s="40" t="s">
        <v>89</v>
      </c>
    </row>
    <row r="268" spans="1:7" x14ac:dyDescent="0.3">
      <c r="A268" s="39">
        <v>277</v>
      </c>
      <c r="B268" s="39">
        <v>277</v>
      </c>
      <c r="C268" s="40" t="s">
        <v>352</v>
      </c>
      <c r="D268" s="40" t="s">
        <v>352</v>
      </c>
      <c r="E268" s="40" t="s">
        <v>88</v>
      </c>
      <c r="F268" s="41">
        <v>1</v>
      </c>
      <c r="G268" s="40" t="s">
        <v>89</v>
      </c>
    </row>
    <row r="269" spans="1:7" x14ac:dyDescent="0.3">
      <c r="A269" s="39">
        <v>278</v>
      </c>
      <c r="B269" s="39">
        <v>278</v>
      </c>
      <c r="C269" s="40" t="s">
        <v>353</v>
      </c>
      <c r="D269" s="40" t="s">
        <v>353</v>
      </c>
      <c r="E269" s="40" t="s">
        <v>88</v>
      </c>
      <c r="F269" s="41">
        <v>1</v>
      </c>
      <c r="G269" s="40" t="s">
        <v>89</v>
      </c>
    </row>
    <row r="270" spans="1:7" x14ac:dyDescent="0.3">
      <c r="A270" s="39">
        <v>279</v>
      </c>
      <c r="B270" s="39">
        <v>279</v>
      </c>
      <c r="C270" s="40" t="s">
        <v>354</v>
      </c>
      <c r="D270" s="40" t="s">
        <v>354</v>
      </c>
      <c r="E270" s="40" t="s">
        <v>88</v>
      </c>
      <c r="F270" s="41">
        <v>1</v>
      </c>
      <c r="G270" s="40" t="s">
        <v>89</v>
      </c>
    </row>
    <row r="271" spans="1:7" x14ac:dyDescent="0.3">
      <c r="A271" s="39">
        <v>280</v>
      </c>
      <c r="B271" s="39">
        <v>280</v>
      </c>
      <c r="C271" s="40" t="s">
        <v>355</v>
      </c>
      <c r="D271" s="40" t="s">
        <v>355</v>
      </c>
      <c r="E271" s="40" t="s">
        <v>88</v>
      </c>
      <c r="F271" s="41">
        <v>1</v>
      </c>
      <c r="G271" s="40" t="s">
        <v>89</v>
      </c>
    </row>
    <row r="272" spans="1:7" x14ac:dyDescent="0.3">
      <c r="A272" s="39">
        <v>281</v>
      </c>
      <c r="B272" s="39">
        <v>281</v>
      </c>
      <c r="C272" s="40" t="s">
        <v>356</v>
      </c>
      <c r="D272" s="40" t="s">
        <v>356</v>
      </c>
      <c r="E272" s="40" t="s">
        <v>88</v>
      </c>
      <c r="F272" s="41">
        <v>1</v>
      </c>
      <c r="G272" s="40" t="s">
        <v>89</v>
      </c>
    </row>
    <row r="273" spans="1:7" x14ac:dyDescent="0.3">
      <c r="A273" s="39">
        <v>282</v>
      </c>
      <c r="B273" s="39">
        <v>282</v>
      </c>
      <c r="C273" s="40" t="s">
        <v>357</v>
      </c>
      <c r="D273" s="40" t="s">
        <v>357</v>
      </c>
      <c r="E273" s="40" t="s">
        <v>88</v>
      </c>
      <c r="F273" s="41">
        <v>1</v>
      </c>
      <c r="G273" s="40" t="s">
        <v>89</v>
      </c>
    </row>
    <row r="274" spans="1:7" x14ac:dyDescent="0.3">
      <c r="A274" s="39">
        <v>283</v>
      </c>
      <c r="B274" s="39">
        <v>283</v>
      </c>
      <c r="C274" s="40" t="s">
        <v>358</v>
      </c>
      <c r="D274" s="40" t="s">
        <v>358</v>
      </c>
      <c r="E274" s="40" t="s">
        <v>88</v>
      </c>
      <c r="F274" s="41">
        <v>1</v>
      </c>
      <c r="G274" s="40" t="s">
        <v>89</v>
      </c>
    </row>
    <row r="275" spans="1:7" x14ac:dyDescent="0.3">
      <c r="A275" s="39">
        <v>284</v>
      </c>
      <c r="B275" s="39">
        <v>284</v>
      </c>
      <c r="C275" s="40" t="s">
        <v>359</v>
      </c>
      <c r="D275" s="40" t="s">
        <v>359</v>
      </c>
      <c r="E275" s="40" t="s">
        <v>88</v>
      </c>
      <c r="F275" s="41">
        <v>1</v>
      </c>
      <c r="G275" s="40" t="s">
        <v>89</v>
      </c>
    </row>
    <row r="276" spans="1:7" x14ac:dyDescent="0.3">
      <c r="A276" s="39">
        <v>285</v>
      </c>
      <c r="B276" s="39">
        <v>285</v>
      </c>
      <c r="C276" s="40" t="s">
        <v>360</v>
      </c>
      <c r="D276" s="40" t="s">
        <v>360</v>
      </c>
      <c r="E276" s="40" t="s">
        <v>88</v>
      </c>
      <c r="F276" s="41">
        <v>1</v>
      </c>
      <c r="G276" s="40" t="s">
        <v>89</v>
      </c>
    </row>
    <row r="277" spans="1:7" x14ac:dyDescent="0.3">
      <c r="A277" s="39">
        <v>286</v>
      </c>
      <c r="B277" s="39">
        <v>286</v>
      </c>
      <c r="C277" s="40" t="s">
        <v>361</v>
      </c>
      <c r="D277" s="40" t="s">
        <v>361</v>
      </c>
      <c r="E277" s="40" t="s">
        <v>88</v>
      </c>
      <c r="F277" s="41">
        <v>1</v>
      </c>
      <c r="G277" s="40" t="s">
        <v>89</v>
      </c>
    </row>
    <row r="278" spans="1:7" x14ac:dyDescent="0.3">
      <c r="A278" s="39">
        <v>287</v>
      </c>
      <c r="B278" s="39">
        <v>287</v>
      </c>
      <c r="C278" s="40" t="s">
        <v>362</v>
      </c>
      <c r="D278" s="40" t="s">
        <v>362</v>
      </c>
      <c r="E278" s="40" t="s">
        <v>88</v>
      </c>
      <c r="F278" s="41">
        <v>1</v>
      </c>
      <c r="G278" s="40" t="s">
        <v>89</v>
      </c>
    </row>
    <row r="279" spans="1:7" x14ac:dyDescent="0.3">
      <c r="A279" s="39">
        <v>288</v>
      </c>
      <c r="B279" s="39">
        <v>288</v>
      </c>
      <c r="C279" s="40" t="s">
        <v>363</v>
      </c>
      <c r="D279" s="40" t="s">
        <v>363</v>
      </c>
      <c r="E279" s="40" t="s">
        <v>88</v>
      </c>
      <c r="F279" s="41">
        <v>1</v>
      </c>
      <c r="G279" s="40" t="s">
        <v>89</v>
      </c>
    </row>
    <row r="280" spans="1:7" x14ac:dyDescent="0.3">
      <c r="A280" s="39">
        <v>289</v>
      </c>
      <c r="B280" s="39">
        <v>289</v>
      </c>
      <c r="C280" s="40" t="s">
        <v>364</v>
      </c>
      <c r="D280" s="40" t="s">
        <v>364</v>
      </c>
      <c r="E280" s="40" t="s">
        <v>88</v>
      </c>
      <c r="F280" s="41">
        <v>1</v>
      </c>
      <c r="G280" s="40" t="s">
        <v>89</v>
      </c>
    </row>
    <row r="281" spans="1:7" x14ac:dyDescent="0.3">
      <c r="A281" s="39">
        <v>290</v>
      </c>
      <c r="B281" s="39">
        <v>290</v>
      </c>
      <c r="C281" s="40" t="s">
        <v>365</v>
      </c>
      <c r="D281" s="40" t="s">
        <v>365</v>
      </c>
      <c r="E281" s="40" t="s">
        <v>88</v>
      </c>
      <c r="F281" s="41">
        <v>1</v>
      </c>
      <c r="G281" s="40" t="s">
        <v>89</v>
      </c>
    </row>
    <row r="282" spans="1:7" x14ac:dyDescent="0.3">
      <c r="A282" s="39">
        <v>291</v>
      </c>
      <c r="B282" s="39">
        <v>291</v>
      </c>
      <c r="C282" s="40" t="s">
        <v>366</v>
      </c>
      <c r="D282" s="40" t="s">
        <v>366</v>
      </c>
      <c r="E282" s="40" t="s">
        <v>88</v>
      </c>
      <c r="F282" s="41">
        <v>1</v>
      </c>
      <c r="G282" s="40" t="s">
        <v>89</v>
      </c>
    </row>
    <row r="283" spans="1:7" x14ac:dyDescent="0.3">
      <c r="A283" s="39">
        <v>842</v>
      </c>
      <c r="B283" s="39">
        <v>842</v>
      </c>
      <c r="C283" s="40" t="s">
        <v>367</v>
      </c>
      <c r="D283" s="40" t="s">
        <v>367</v>
      </c>
      <c r="E283" s="40" t="s">
        <v>88</v>
      </c>
      <c r="F283" s="41">
        <v>1</v>
      </c>
      <c r="G283" s="40" t="s">
        <v>89</v>
      </c>
    </row>
    <row r="284" spans="1:7" x14ac:dyDescent="0.3">
      <c r="A284" s="39">
        <v>293</v>
      </c>
      <c r="B284" s="39">
        <v>293</v>
      </c>
      <c r="C284" s="40" t="s">
        <v>368</v>
      </c>
      <c r="D284" s="40" t="s">
        <v>368</v>
      </c>
      <c r="E284" s="40" t="s">
        <v>88</v>
      </c>
      <c r="F284" s="41">
        <v>1</v>
      </c>
      <c r="G284" s="40" t="s">
        <v>89</v>
      </c>
    </row>
    <row r="285" spans="1:7" x14ac:dyDescent="0.3">
      <c r="A285" s="39">
        <v>294</v>
      </c>
      <c r="B285" s="39">
        <v>294</v>
      </c>
      <c r="C285" s="40" t="s">
        <v>369</v>
      </c>
      <c r="D285" s="40" t="s">
        <v>369</v>
      </c>
      <c r="E285" s="40" t="s">
        <v>88</v>
      </c>
      <c r="F285" s="41">
        <v>1</v>
      </c>
      <c r="G285" s="40" t="s">
        <v>89</v>
      </c>
    </row>
    <row r="286" spans="1:7" x14ac:dyDescent="0.3">
      <c r="A286" s="39">
        <v>295</v>
      </c>
      <c r="B286" s="39">
        <v>295</v>
      </c>
      <c r="C286" s="40" t="s">
        <v>370</v>
      </c>
      <c r="D286" s="40" t="s">
        <v>370</v>
      </c>
      <c r="E286" s="40" t="s">
        <v>88</v>
      </c>
      <c r="F286" s="41">
        <v>1</v>
      </c>
      <c r="G286" s="40" t="s">
        <v>89</v>
      </c>
    </row>
    <row r="287" spans="1:7" x14ac:dyDescent="0.3">
      <c r="A287" s="39">
        <v>296</v>
      </c>
      <c r="B287" s="39">
        <v>296</v>
      </c>
      <c r="C287" s="40" t="s">
        <v>371</v>
      </c>
      <c r="D287" s="40" t="s">
        <v>371</v>
      </c>
      <c r="E287" s="40" t="s">
        <v>88</v>
      </c>
      <c r="F287" s="41">
        <v>1</v>
      </c>
      <c r="G287" s="40" t="s">
        <v>89</v>
      </c>
    </row>
    <row r="288" spans="1:7" x14ac:dyDescent="0.3">
      <c r="A288" s="39">
        <v>297</v>
      </c>
      <c r="B288" s="39">
        <v>297</v>
      </c>
      <c r="C288" s="40" t="s">
        <v>372</v>
      </c>
      <c r="D288" s="40" t="s">
        <v>372</v>
      </c>
      <c r="E288" s="40" t="s">
        <v>88</v>
      </c>
      <c r="F288" s="41">
        <v>1</v>
      </c>
      <c r="G288" s="40" t="s">
        <v>89</v>
      </c>
    </row>
    <row r="289" spans="1:7" x14ac:dyDescent="0.3">
      <c r="A289" s="39">
        <v>298</v>
      </c>
      <c r="B289" s="39">
        <v>298</v>
      </c>
      <c r="C289" s="40" t="s">
        <v>373</v>
      </c>
      <c r="D289" s="40" t="s">
        <v>373</v>
      </c>
      <c r="E289" s="40" t="s">
        <v>88</v>
      </c>
      <c r="F289" s="41">
        <v>1</v>
      </c>
      <c r="G289" s="40" t="s">
        <v>89</v>
      </c>
    </row>
    <row r="290" spans="1:7" x14ac:dyDescent="0.3">
      <c r="A290" s="39">
        <v>299</v>
      </c>
      <c r="B290" s="39">
        <v>299</v>
      </c>
      <c r="C290" s="40" t="s">
        <v>374</v>
      </c>
      <c r="D290" s="40" t="s">
        <v>374</v>
      </c>
      <c r="E290" s="40" t="s">
        <v>88</v>
      </c>
      <c r="F290" s="41">
        <v>1</v>
      </c>
      <c r="G290" s="40" t="s">
        <v>89</v>
      </c>
    </row>
    <row r="291" spans="1:7" x14ac:dyDescent="0.3">
      <c r="A291" s="39">
        <v>300</v>
      </c>
      <c r="B291" s="39">
        <v>300</v>
      </c>
      <c r="C291" s="40" t="s">
        <v>375</v>
      </c>
      <c r="D291" s="40" t="s">
        <v>375</v>
      </c>
      <c r="E291" s="40" t="s">
        <v>88</v>
      </c>
      <c r="F291" s="41">
        <v>1</v>
      </c>
      <c r="G291" s="40" t="s">
        <v>89</v>
      </c>
    </row>
    <row r="292" spans="1:7" x14ac:dyDescent="0.3">
      <c r="A292" s="39">
        <v>301</v>
      </c>
      <c r="B292" s="39">
        <v>301</v>
      </c>
      <c r="C292" s="40" t="s">
        <v>376</v>
      </c>
      <c r="D292" s="40" t="s">
        <v>376</v>
      </c>
      <c r="E292" s="40" t="s">
        <v>88</v>
      </c>
      <c r="F292" s="41">
        <v>1</v>
      </c>
      <c r="G292" s="40" t="s">
        <v>89</v>
      </c>
    </row>
    <row r="293" spans="1:7" x14ac:dyDescent="0.3">
      <c r="A293" s="39">
        <v>302</v>
      </c>
      <c r="B293" s="39">
        <v>302</v>
      </c>
      <c r="C293" s="40" t="s">
        <v>377</v>
      </c>
      <c r="D293" s="40" t="s">
        <v>377</v>
      </c>
      <c r="E293" s="40" t="s">
        <v>88</v>
      </c>
      <c r="F293" s="41">
        <v>1</v>
      </c>
      <c r="G293" s="40" t="s">
        <v>89</v>
      </c>
    </row>
    <row r="294" spans="1:7" x14ac:dyDescent="0.3">
      <c r="A294" s="39">
        <v>303</v>
      </c>
      <c r="B294" s="39">
        <v>303</v>
      </c>
      <c r="C294" s="40" t="s">
        <v>378</v>
      </c>
      <c r="D294" s="40" t="s">
        <v>378</v>
      </c>
      <c r="E294" s="40" t="s">
        <v>88</v>
      </c>
      <c r="F294" s="41">
        <v>1</v>
      </c>
      <c r="G294" s="40" t="s">
        <v>89</v>
      </c>
    </row>
    <row r="295" spans="1:7" x14ac:dyDescent="0.3">
      <c r="A295" s="39">
        <v>304</v>
      </c>
      <c r="B295" s="39">
        <v>304</v>
      </c>
      <c r="C295" s="40" t="s">
        <v>379</v>
      </c>
      <c r="D295" s="40" t="s">
        <v>379</v>
      </c>
      <c r="E295" s="40" t="s">
        <v>88</v>
      </c>
      <c r="F295" s="41">
        <v>1</v>
      </c>
      <c r="G295" s="40" t="s">
        <v>89</v>
      </c>
    </row>
    <row r="296" spans="1:7" x14ac:dyDescent="0.3">
      <c r="A296" s="39">
        <v>305</v>
      </c>
      <c r="B296" s="39">
        <v>305</v>
      </c>
      <c r="C296" s="40" t="s">
        <v>380</v>
      </c>
      <c r="D296" s="40" t="s">
        <v>380</v>
      </c>
      <c r="E296" s="40" t="s">
        <v>88</v>
      </c>
      <c r="F296" s="41">
        <v>1</v>
      </c>
      <c r="G296" s="40" t="s">
        <v>89</v>
      </c>
    </row>
    <row r="297" spans="1:7" x14ac:dyDescent="0.3">
      <c r="A297" s="39">
        <v>306</v>
      </c>
      <c r="B297" s="39">
        <v>306</v>
      </c>
      <c r="C297" s="40" t="s">
        <v>381</v>
      </c>
      <c r="D297" s="40" t="s">
        <v>381</v>
      </c>
      <c r="E297" s="40" t="s">
        <v>88</v>
      </c>
      <c r="F297" s="41">
        <v>1</v>
      </c>
      <c r="G297" s="40" t="s">
        <v>89</v>
      </c>
    </row>
    <row r="298" spans="1:7" x14ac:dyDescent="0.3">
      <c r="A298" s="39">
        <v>307</v>
      </c>
      <c r="B298" s="39">
        <v>307</v>
      </c>
      <c r="C298" s="40" t="s">
        <v>382</v>
      </c>
      <c r="D298" s="40" t="s">
        <v>382</v>
      </c>
      <c r="E298" s="40" t="s">
        <v>88</v>
      </c>
      <c r="F298" s="41">
        <v>1</v>
      </c>
      <c r="G298" s="40" t="s">
        <v>89</v>
      </c>
    </row>
    <row r="299" spans="1:7" x14ac:dyDescent="0.3">
      <c r="A299" s="39">
        <v>308</v>
      </c>
      <c r="B299" s="39">
        <v>308</v>
      </c>
      <c r="C299" s="40" t="s">
        <v>383</v>
      </c>
      <c r="D299" s="40" t="s">
        <v>383</v>
      </c>
      <c r="E299" s="40" t="s">
        <v>88</v>
      </c>
      <c r="F299" s="41">
        <v>1</v>
      </c>
      <c r="G299" s="40" t="s">
        <v>89</v>
      </c>
    </row>
    <row r="300" spans="1:7" x14ac:dyDescent="0.3">
      <c r="A300" s="39">
        <v>309</v>
      </c>
      <c r="B300" s="39">
        <v>309</v>
      </c>
      <c r="C300" s="40" t="s">
        <v>384</v>
      </c>
      <c r="D300" s="40" t="s">
        <v>384</v>
      </c>
      <c r="E300" s="40" t="s">
        <v>88</v>
      </c>
      <c r="F300" s="41">
        <v>1</v>
      </c>
      <c r="G300" s="40" t="s">
        <v>89</v>
      </c>
    </row>
    <row r="301" spans="1:7" x14ac:dyDescent="0.3">
      <c r="A301" s="39">
        <v>310</v>
      </c>
      <c r="B301" s="39">
        <v>310</v>
      </c>
      <c r="C301" s="40" t="s">
        <v>385</v>
      </c>
      <c r="D301" s="40" t="s">
        <v>385</v>
      </c>
      <c r="E301" s="40" t="s">
        <v>88</v>
      </c>
      <c r="F301" s="41">
        <v>1</v>
      </c>
      <c r="G301" s="40" t="s">
        <v>89</v>
      </c>
    </row>
    <row r="302" spans="1:7" x14ac:dyDescent="0.3">
      <c r="A302" s="39">
        <v>311</v>
      </c>
      <c r="B302" s="39">
        <v>311</v>
      </c>
      <c r="C302" s="40" t="s">
        <v>386</v>
      </c>
      <c r="D302" s="40" t="s">
        <v>386</v>
      </c>
      <c r="E302" s="40" t="s">
        <v>88</v>
      </c>
      <c r="F302" s="41">
        <v>1</v>
      </c>
      <c r="G302" s="40" t="s">
        <v>89</v>
      </c>
    </row>
    <row r="303" spans="1:7" x14ac:dyDescent="0.3">
      <c r="A303" s="39">
        <v>312</v>
      </c>
      <c r="B303" s="39">
        <v>312</v>
      </c>
      <c r="C303" s="40" t="s">
        <v>387</v>
      </c>
      <c r="D303" s="40" t="s">
        <v>387</v>
      </c>
      <c r="E303" s="40" t="s">
        <v>88</v>
      </c>
      <c r="F303" s="41">
        <v>1</v>
      </c>
      <c r="G303" s="40" t="s">
        <v>89</v>
      </c>
    </row>
    <row r="304" spans="1:7" x14ac:dyDescent="0.3">
      <c r="A304" s="39">
        <v>313</v>
      </c>
      <c r="B304" s="39">
        <v>313</v>
      </c>
      <c r="C304" s="40" t="s">
        <v>388</v>
      </c>
      <c r="D304" s="40" t="s">
        <v>388</v>
      </c>
      <c r="E304" s="40" t="s">
        <v>88</v>
      </c>
      <c r="F304" s="41">
        <v>1</v>
      </c>
      <c r="G304" s="40" t="s">
        <v>89</v>
      </c>
    </row>
    <row r="305" spans="1:7" x14ac:dyDescent="0.3">
      <c r="A305" s="39">
        <v>314</v>
      </c>
      <c r="B305" s="39">
        <v>314</v>
      </c>
      <c r="C305" s="40" t="s">
        <v>389</v>
      </c>
      <c r="D305" s="40" t="s">
        <v>389</v>
      </c>
      <c r="E305" s="40" t="s">
        <v>88</v>
      </c>
      <c r="F305" s="41">
        <v>1</v>
      </c>
      <c r="G305" s="40" t="s">
        <v>89</v>
      </c>
    </row>
    <row r="306" spans="1:7" x14ac:dyDescent="0.3">
      <c r="A306" s="39">
        <v>631</v>
      </c>
      <c r="B306" s="39">
        <v>631</v>
      </c>
      <c r="C306" s="40" t="s">
        <v>390</v>
      </c>
      <c r="D306" s="40" t="s">
        <v>390</v>
      </c>
      <c r="E306" s="40" t="s">
        <v>88</v>
      </c>
      <c r="F306" s="41">
        <v>1</v>
      </c>
      <c r="G306" s="40" t="s">
        <v>89</v>
      </c>
    </row>
    <row r="307" spans="1:7" x14ac:dyDescent="0.3">
      <c r="A307" s="39">
        <v>317</v>
      </c>
      <c r="B307" s="39">
        <v>317</v>
      </c>
      <c r="C307" s="40" t="s">
        <v>391</v>
      </c>
      <c r="D307" s="40" t="s">
        <v>391</v>
      </c>
      <c r="E307" s="40" t="s">
        <v>88</v>
      </c>
      <c r="F307" s="41">
        <v>1</v>
      </c>
      <c r="G307" s="40" t="s">
        <v>89</v>
      </c>
    </row>
    <row r="308" spans="1:7" x14ac:dyDescent="0.3">
      <c r="A308" s="39">
        <v>318</v>
      </c>
      <c r="B308" s="39">
        <v>318</v>
      </c>
      <c r="C308" s="40" t="s">
        <v>392</v>
      </c>
      <c r="D308" s="40" t="s">
        <v>392</v>
      </c>
      <c r="E308" s="40" t="s">
        <v>88</v>
      </c>
      <c r="F308" s="41">
        <v>1</v>
      </c>
      <c r="G308" s="40" t="s">
        <v>89</v>
      </c>
    </row>
    <row r="309" spans="1:7" x14ac:dyDescent="0.3">
      <c r="A309" s="39">
        <v>319</v>
      </c>
      <c r="B309" s="39">
        <v>319</v>
      </c>
      <c r="C309" s="40" t="s">
        <v>393</v>
      </c>
      <c r="D309" s="40" t="s">
        <v>393</v>
      </c>
      <c r="E309" s="40" t="s">
        <v>88</v>
      </c>
      <c r="F309" s="41">
        <v>1</v>
      </c>
      <c r="G309" s="40" t="s">
        <v>89</v>
      </c>
    </row>
    <row r="310" spans="1:7" x14ac:dyDescent="0.3">
      <c r="A310" s="39">
        <v>320</v>
      </c>
      <c r="B310" s="39">
        <v>320</v>
      </c>
      <c r="C310" s="40" t="s">
        <v>394</v>
      </c>
      <c r="D310" s="40" t="s">
        <v>394</v>
      </c>
      <c r="E310" s="40" t="s">
        <v>88</v>
      </c>
      <c r="F310" s="41">
        <v>1</v>
      </c>
      <c r="G310" s="40" t="s">
        <v>89</v>
      </c>
    </row>
    <row r="311" spans="1:7" x14ac:dyDescent="0.3">
      <c r="A311" s="39">
        <v>321</v>
      </c>
      <c r="B311" s="39">
        <v>321</v>
      </c>
      <c r="C311" s="40" t="s">
        <v>395</v>
      </c>
      <c r="D311" s="40" t="s">
        <v>395</v>
      </c>
      <c r="E311" s="40" t="s">
        <v>88</v>
      </c>
      <c r="F311" s="41">
        <v>1</v>
      </c>
      <c r="G311" s="40" t="s">
        <v>89</v>
      </c>
    </row>
    <row r="312" spans="1:7" x14ac:dyDescent="0.3">
      <c r="A312" s="39">
        <v>322</v>
      </c>
      <c r="B312" s="39">
        <v>322</v>
      </c>
      <c r="C312" s="40" t="s">
        <v>396</v>
      </c>
      <c r="D312" s="40" t="s">
        <v>396</v>
      </c>
      <c r="E312" s="40" t="s">
        <v>88</v>
      </c>
      <c r="F312" s="41">
        <v>1</v>
      </c>
      <c r="G312" s="40" t="s">
        <v>89</v>
      </c>
    </row>
    <row r="313" spans="1:7" x14ac:dyDescent="0.3">
      <c r="A313" s="39">
        <v>323</v>
      </c>
      <c r="B313" s="39">
        <v>323</v>
      </c>
      <c r="C313" s="40" t="s">
        <v>397</v>
      </c>
      <c r="D313" s="40" t="s">
        <v>397</v>
      </c>
      <c r="E313" s="40" t="s">
        <v>88</v>
      </c>
      <c r="F313" s="41">
        <v>1</v>
      </c>
      <c r="G313" s="40" t="s">
        <v>89</v>
      </c>
    </row>
    <row r="314" spans="1:7" x14ac:dyDescent="0.3">
      <c r="A314" s="39">
        <v>324</v>
      </c>
      <c r="B314" s="39">
        <v>324</v>
      </c>
      <c r="C314" s="40" t="s">
        <v>398</v>
      </c>
      <c r="D314" s="40" t="s">
        <v>398</v>
      </c>
      <c r="E314" s="40" t="s">
        <v>88</v>
      </c>
      <c r="F314" s="41">
        <v>1</v>
      </c>
      <c r="G314" s="40" t="s">
        <v>89</v>
      </c>
    </row>
    <row r="315" spans="1:7" x14ac:dyDescent="0.3">
      <c r="A315" s="39">
        <v>325</v>
      </c>
      <c r="B315" s="39">
        <v>325</v>
      </c>
      <c r="C315" s="40" t="s">
        <v>399</v>
      </c>
      <c r="D315" s="40" t="s">
        <v>399</v>
      </c>
      <c r="E315" s="40" t="s">
        <v>88</v>
      </c>
      <c r="F315" s="41">
        <v>1</v>
      </c>
      <c r="G315" s="40" t="s">
        <v>89</v>
      </c>
    </row>
    <row r="316" spans="1:7" x14ac:dyDescent="0.3">
      <c r="A316" s="39">
        <v>326</v>
      </c>
      <c r="B316" s="39">
        <v>326</v>
      </c>
      <c r="C316" s="40" t="s">
        <v>400</v>
      </c>
      <c r="D316" s="40" t="s">
        <v>400</v>
      </c>
      <c r="E316" s="40" t="s">
        <v>88</v>
      </c>
      <c r="F316" s="41">
        <v>1</v>
      </c>
      <c r="G316" s="40" t="s">
        <v>89</v>
      </c>
    </row>
    <row r="317" spans="1:7" x14ac:dyDescent="0.3">
      <c r="A317" s="39">
        <v>327</v>
      </c>
      <c r="B317" s="39">
        <v>327</v>
      </c>
      <c r="C317" s="40" t="s">
        <v>401</v>
      </c>
      <c r="D317" s="40" t="s">
        <v>401</v>
      </c>
      <c r="E317" s="40" t="s">
        <v>88</v>
      </c>
      <c r="F317" s="41">
        <v>1</v>
      </c>
      <c r="G317" s="40" t="s">
        <v>89</v>
      </c>
    </row>
    <row r="318" spans="1:7" x14ac:dyDescent="0.3">
      <c r="A318" s="39">
        <v>328</v>
      </c>
      <c r="B318" s="39">
        <v>328</v>
      </c>
      <c r="C318" s="40" t="s">
        <v>402</v>
      </c>
      <c r="D318" s="40" t="s">
        <v>402</v>
      </c>
      <c r="E318" s="40" t="s">
        <v>88</v>
      </c>
      <c r="F318" s="41">
        <v>1</v>
      </c>
      <c r="G318" s="40" t="s">
        <v>89</v>
      </c>
    </row>
    <row r="319" spans="1:7" x14ac:dyDescent="0.3">
      <c r="A319" s="39">
        <v>329</v>
      </c>
      <c r="B319" s="39">
        <v>329</v>
      </c>
      <c r="C319" s="40" t="s">
        <v>403</v>
      </c>
      <c r="D319" s="40" t="s">
        <v>403</v>
      </c>
      <c r="E319" s="40" t="s">
        <v>88</v>
      </c>
      <c r="F319" s="41">
        <v>1</v>
      </c>
      <c r="G319" s="40" t="s">
        <v>89</v>
      </c>
    </row>
    <row r="320" spans="1:7" x14ac:dyDescent="0.3">
      <c r="A320" s="39">
        <v>330</v>
      </c>
      <c r="B320" s="39">
        <v>330</v>
      </c>
      <c r="C320" s="40" t="s">
        <v>404</v>
      </c>
      <c r="D320" s="40" t="s">
        <v>404</v>
      </c>
      <c r="E320" s="40" t="s">
        <v>88</v>
      </c>
      <c r="F320" s="41">
        <v>1</v>
      </c>
      <c r="G320" s="40" t="s">
        <v>89</v>
      </c>
    </row>
    <row r="321" spans="1:7" x14ac:dyDescent="0.3">
      <c r="A321" s="39">
        <v>331</v>
      </c>
      <c r="B321" s="39">
        <v>331</v>
      </c>
      <c r="C321" s="40" t="s">
        <v>405</v>
      </c>
      <c r="D321" s="40" t="s">
        <v>405</v>
      </c>
      <c r="E321" s="40" t="s">
        <v>88</v>
      </c>
      <c r="F321" s="41">
        <v>1</v>
      </c>
      <c r="G321" s="40" t="s">
        <v>89</v>
      </c>
    </row>
    <row r="322" spans="1:7" x14ac:dyDescent="0.3">
      <c r="A322" s="39">
        <v>332</v>
      </c>
      <c r="B322" s="39">
        <v>332</v>
      </c>
      <c r="C322" s="40" t="s">
        <v>406</v>
      </c>
      <c r="D322" s="40" t="s">
        <v>406</v>
      </c>
      <c r="E322" s="40" t="s">
        <v>88</v>
      </c>
      <c r="F322" s="41">
        <v>1</v>
      </c>
      <c r="G322" s="40" t="s">
        <v>89</v>
      </c>
    </row>
    <row r="323" spans="1:7" x14ac:dyDescent="0.3">
      <c r="A323" s="39">
        <v>333</v>
      </c>
      <c r="B323" s="39">
        <v>333</v>
      </c>
      <c r="C323" s="40" t="s">
        <v>407</v>
      </c>
      <c r="D323" s="40" t="s">
        <v>407</v>
      </c>
      <c r="E323" s="40" t="s">
        <v>88</v>
      </c>
      <c r="F323" s="41">
        <v>1</v>
      </c>
      <c r="G323" s="40" t="s">
        <v>89</v>
      </c>
    </row>
    <row r="324" spans="1:7" x14ac:dyDescent="0.3">
      <c r="A324" s="39">
        <v>334</v>
      </c>
      <c r="B324" s="39">
        <v>334</v>
      </c>
      <c r="C324" s="40" t="s">
        <v>408</v>
      </c>
      <c r="D324" s="40" t="s">
        <v>408</v>
      </c>
      <c r="E324" s="40" t="s">
        <v>88</v>
      </c>
      <c r="F324" s="41">
        <v>1</v>
      </c>
      <c r="G324" s="40" t="s">
        <v>89</v>
      </c>
    </row>
    <row r="325" spans="1:7" x14ac:dyDescent="0.3">
      <c r="A325" s="39">
        <v>335</v>
      </c>
      <c r="B325" s="39">
        <v>335</v>
      </c>
      <c r="C325" s="40" t="s">
        <v>409</v>
      </c>
      <c r="D325" s="40" t="s">
        <v>409</v>
      </c>
      <c r="E325" s="40" t="s">
        <v>88</v>
      </c>
      <c r="F325" s="41">
        <v>1</v>
      </c>
      <c r="G325" s="40" t="s">
        <v>89</v>
      </c>
    </row>
    <row r="326" spans="1:7" x14ac:dyDescent="0.3">
      <c r="A326" s="39">
        <v>336</v>
      </c>
      <c r="B326" s="39">
        <v>336</v>
      </c>
      <c r="C326" s="40" t="s">
        <v>410</v>
      </c>
      <c r="D326" s="40" t="s">
        <v>410</v>
      </c>
      <c r="E326" s="40" t="s">
        <v>88</v>
      </c>
      <c r="F326" s="41">
        <v>1</v>
      </c>
      <c r="G326" s="40" t="s">
        <v>89</v>
      </c>
    </row>
    <row r="327" spans="1:7" x14ac:dyDescent="0.3">
      <c r="A327" s="39">
        <v>337</v>
      </c>
      <c r="B327" s="39">
        <v>337</v>
      </c>
      <c r="C327" s="40" t="s">
        <v>411</v>
      </c>
      <c r="D327" s="40" t="s">
        <v>411</v>
      </c>
      <c r="E327" s="40" t="s">
        <v>88</v>
      </c>
      <c r="F327" s="41">
        <v>1</v>
      </c>
      <c r="G327" s="40" t="s">
        <v>89</v>
      </c>
    </row>
    <row r="328" spans="1:7" x14ac:dyDescent="0.3">
      <c r="A328" s="39">
        <v>338</v>
      </c>
      <c r="B328" s="39">
        <v>338</v>
      </c>
      <c r="C328" s="40" t="s">
        <v>412</v>
      </c>
      <c r="D328" s="40" t="s">
        <v>412</v>
      </c>
      <c r="E328" s="40" t="s">
        <v>88</v>
      </c>
      <c r="F328" s="41">
        <v>1</v>
      </c>
      <c r="G328" s="40" t="s">
        <v>89</v>
      </c>
    </row>
    <row r="329" spans="1:7" x14ac:dyDescent="0.3">
      <c r="A329" s="39">
        <v>339</v>
      </c>
      <c r="B329" s="39">
        <v>339</v>
      </c>
      <c r="C329" s="40" t="s">
        <v>413</v>
      </c>
      <c r="D329" s="40" t="s">
        <v>413</v>
      </c>
      <c r="E329" s="40" t="s">
        <v>88</v>
      </c>
      <c r="F329" s="41">
        <v>1</v>
      </c>
      <c r="G329" s="40" t="s">
        <v>89</v>
      </c>
    </row>
    <row r="330" spans="1:7" x14ac:dyDescent="0.3">
      <c r="A330" s="39">
        <v>340</v>
      </c>
      <c r="B330" s="39">
        <v>340</v>
      </c>
      <c r="C330" s="40" t="s">
        <v>414</v>
      </c>
      <c r="D330" s="40" t="s">
        <v>414</v>
      </c>
      <c r="E330" s="40" t="s">
        <v>88</v>
      </c>
      <c r="F330" s="41">
        <v>1</v>
      </c>
      <c r="G330" s="40" t="s">
        <v>89</v>
      </c>
    </row>
    <row r="331" spans="1:7" x14ac:dyDescent="0.3">
      <c r="A331" s="39">
        <v>341</v>
      </c>
      <c r="B331" s="39">
        <v>341</v>
      </c>
      <c r="C331" s="40" t="s">
        <v>415</v>
      </c>
      <c r="D331" s="40" t="s">
        <v>415</v>
      </c>
      <c r="E331" s="40" t="s">
        <v>88</v>
      </c>
      <c r="F331" s="41">
        <v>1</v>
      </c>
      <c r="G331" s="40" t="s">
        <v>89</v>
      </c>
    </row>
    <row r="332" spans="1:7" x14ac:dyDescent="0.3">
      <c r="A332" s="39">
        <v>342</v>
      </c>
      <c r="B332" s="39">
        <v>342</v>
      </c>
      <c r="C332" s="40" t="s">
        <v>416</v>
      </c>
      <c r="D332" s="40" t="s">
        <v>416</v>
      </c>
      <c r="E332" s="40" t="s">
        <v>88</v>
      </c>
      <c r="F332" s="41">
        <v>1</v>
      </c>
      <c r="G332" s="40" t="s">
        <v>89</v>
      </c>
    </row>
    <row r="333" spans="1:7" x14ac:dyDescent="0.3">
      <c r="A333" s="39">
        <v>343</v>
      </c>
      <c r="B333" s="39">
        <v>343</v>
      </c>
      <c r="C333" s="40" t="s">
        <v>417</v>
      </c>
      <c r="D333" s="40" t="s">
        <v>417</v>
      </c>
      <c r="E333" s="40" t="s">
        <v>88</v>
      </c>
      <c r="F333" s="41">
        <v>1</v>
      </c>
      <c r="G333" s="40" t="s">
        <v>89</v>
      </c>
    </row>
    <row r="334" spans="1:7" x14ac:dyDescent="0.3">
      <c r="A334" s="39">
        <v>344</v>
      </c>
      <c r="B334" s="39">
        <v>344</v>
      </c>
      <c r="C334" s="40" t="s">
        <v>418</v>
      </c>
      <c r="D334" s="40" t="s">
        <v>418</v>
      </c>
      <c r="E334" s="40" t="s">
        <v>88</v>
      </c>
      <c r="F334" s="41">
        <v>1</v>
      </c>
      <c r="G334" s="40" t="s">
        <v>89</v>
      </c>
    </row>
    <row r="335" spans="1:7" x14ac:dyDescent="0.3">
      <c r="A335" s="39">
        <v>345</v>
      </c>
      <c r="B335" s="39">
        <v>345</v>
      </c>
      <c r="C335" s="40" t="s">
        <v>419</v>
      </c>
      <c r="D335" s="40" t="s">
        <v>419</v>
      </c>
      <c r="E335" s="40" t="s">
        <v>88</v>
      </c>
      <c r="F335" s="41">
        <v>1</v>
      </c>
      <c r="G335" s="40" t="s">
        <v>89</v>
      </c>
    </row>
    <row r="336" spans="1:7" x14ac:dyDescent="0.3">
      <c r="A336" s="39">
        <v>346</v>
      </c>
      <c r="B336" s="39">
        <v>346</v>
      </c>
      <c r="C336" s="40" t="s">
        <v>420</v>
      </c>
      <c r="D336" s="40" t="s">
        <v>420</v>
      </c>
      <c r="E336" s="40" t="s">
        <v>88</v>
      </c>
      <c r="F336" s="41">
        <v>1</v>
      </c>
      <c r="G336" s="40" t="s">
        <v>89</v>
      </c>
    </row>
    <row r="337" spans="1:7" x14ac:dyDescent="0.3">
      <c r="A337" s="39">
        <v>347</v>
      </c>
      <c r="B337" s="39">
        <v>347</v>
      </c>
      <c r="C337" s="40" t="s">
        <v>421</v>
      </c>
      <c r="D337" s="40" t="s">
        <v>421</v>
      </c>
      <c r="E337" s="40" t="s">
        <v>88</v>
      </c>
      <c r="F337" s="41">
        <v>1</v>
      </c>
      <c r="G337" s="40" t="s">
        <v>89</v>
      </c>
    </row>
    <row r="338" spans="1:7" x14ac:dyDescent="0.3">
      <c r="A338" s="39">
        <v>348</v>
      </c>
      <c r="B338" s="39">
        <v>348</v>
      </c>
      <c r="C338" s="40" t="s">
        <v>422</v>
      </c>
      <c r="D338" s="40" t="s">
        <v>422</v>
      </c>
      <c r="E338" s="40" t="s">
        <v>88</v>
      </c>
      <c r="F338" s="41">
        <v>1</v>
      </c>
      <c r="G338" s="40" t="s">
        <v>89</v>
      </c>
    </row>
    <row r="339" spans="1:7" x14ac:dyDescent="0.3">
      <c r="A339" s="39">
        <v>349</v>
      </c>
      <c r="B339" s="39">
        <v>349</v>
      </c>
      <c r="C339" s="40" t="s">
        <v>423</v>
      </c>
      <c r="D339" s="40" t="s">
        <v>423</v>
      </c>
      <c r="E339" s="40" t="s">
        <v>88</v>
      </c>
      <c r="F339" s="41">
        <v>1</v>
      </c>
      <c r="G339" s="40" t="s">
        <v>89</v>
      </c>
    </row>
    <row r="340" spans="1:7" x14ac:dyDescent="0.3">
      <c r="A340" s="39">
        <v>350</v>
      </c>
      <c r="B340" s="39">
        <v>350</v>
      </c>
      <c r="C340" s="40" t="s">
        <v>424</v>
      </c>
      <c r="D340" s="40" t="s">
        <v>424</v>
      </c>
      <c r="E340" s="40" t="s">
        <v>88</v>
      </c>
      <c r="F340" s="41">
        <v>1</v>
      </c>
      <c r="G340" s="40" t="s">
        <v>89</v>
      </c>
    </row>
    <row r="341" spans="1:7" x14ac:dyDescent="0.3">
      <c r="A341" s="39">
        <v>351</v>
      </c>
      <c r="B341" s="39">
        <v>351</v>
      </c>
      <c r="C341" s="40" t="s">
        <v>425</v>
      </c>
      <c r="D341" s="40" t="s">
        <v>425</v>
      </c>
      <c r="E341" s="40" t="s">
        <v>88</v>
      </c>
      <c r="F341" s="41">
        <v>1</v>
      </c>
      <c r="G341" s="40" t="s">
        <v>89</v>
      </c>
    </row>
    <row r="342" spans="1:7" x14ac:dyDescent="0.3">
      <c r="A342" s="39">
        <v>352</v>
      </c>
      <c r="B342" s="39">
        <v>352</v>
      </c>
      <c r="C342" s="40" t="s">
        <v>426</v>
      </c>
      <c r="D342" s="40" t="s">
        <v>426</v>
      </c>
      <c r="E342" s="40" t="s">
        <v>88</v>
      </c>
      <c r="F342" s="41">
        <v>1</v>
      </c>
      <c r="G342" s="40" t="s">
        <v>89</v>
      </c>
    </row>
    <row r="343" spans="1:7" x14ac:dyDescent="0.3">
      <c r="A343" s="39">
        <v>353</v>
      </c>
      <c r="B343" s="39">
        <v>353</v>
      </c>
      <c r="C343" s="40" t="s">
        <v>427</v>
      </c>
      <c r="D343" s="40" t="s">
        <v>427</v>
      </c>
      <c r="E343" s="40" t="s">
        <v>88</v>
      </c>
      <c r="F343" s="41">
        <v>1</v>
      </c>
      <c r="G343" s="40" t="s">
        <v>89</v>
      </c>
    </row>
    <row r="344" spans="1:7" x14ac:dyDescent="0.3">
      <c r="A344" s="39">
        <v>354</v>
      </c>
      <c r="B344" s="39">
        <v>354</v>
      </c>
      <c r="C344" s="40" t="s">
        <v>428</v>
      </c>
      <c r="D344" s="40" t="s">
        <v>428</v>
      </c>
      <c r="E344" s="40" t="s">
        <v>88</v>
      </c>
      <c r="F344" s="41">
        <v>1</v>
      </c>
      <c r="G344" s="40" t="s">
        <v>89</v>
      </c>
    </row>
    <row r="345" spans="1:7" x14ac:dyDescent="0.3">
      <c r="A345" s="39">
        <v>355</v>
      </c>
      <c r="B345" s="39">
        <v>355</v>
      </c>
      <c r="C345" s="40" t="s">
        <v>429</v>
      </c>
      <c r="D345" s="40" t="s">
        <v>429</v>
      </c>
      <c r="E345" s="40" t="s">
        <v>88</v>
      </c>
      <c r="F345" s="41">
        <v>1</v>
      </c>
      <c r="G345" s="40" t="s">
        <v>89</v>
      </c>
    </row>
    <row r="346" spans="1:7" x14ac:dyDescent="0.3">
      <c r="A346" s="39">
        <v>356</v>
      </c>
      <c r="B346" s="39">
        <v>356</v>
      </c>
      <c r="C346" s="40" t="s">
        <v>430</v>
      </c>
      <c r="D346" s="40" t="s">
        <v>430</v>
      </c>
      <c r="E346" s="40" t="s">
        <v>88</v>
      </c>
      <c r="F346" s="41">
        <v>1</v>
      </c>
      <c r="G346" s="40" t="s">
        <v>89</v>
      </c>
    </row>
    <row r="347" spans="1:7" x14ac:dyDescent="0.3">
      <c r="A347" s="39">
        <v>357</v>
      </c>
      <c r="B347" s="39">
        <v>357</v>
      </c>
      <c r="C347" s="40" t="s">
        <v>431</v>
      </c>
      <c r="D347" s="40" t="s">
        <v>431</v>
      </c>
      <c r="E347" s="40" t="s">
        <v>88</v>
      </c>
      <c r="F347" s="41">
        <v>1</v>
      </c>
      <c r="G347" s="40" t="s">
        <v>89</v>
      </c>
    </row>
    <row r="348" spans="1:7" x14ac:dyDescent="0.3">
      <c r="A348" s="39">
        <v>358</v>
      </c>
      <c r="B348" s="39">
        <v>358</v>
      </c>
      <c r="C348" s="40" t="s">
        <v>432</v>
      </c>
      <c r="D348" s="40" t="s">
        <v>432</v>
      </c>
      <c r="E348" s="40" t="s">
        <v>88</v>
      </c>
      <c r="F348" s="41">
        <v>1</v>
      </c>
      <c r="G348" s="40" t="s">
        <v>89</v>
      </c>
    </row>
    <row r="349" spans="1:7" x14ac:dyDescent="0.3">
      <c r="A349" s="39">
        <v>359</v>
      </c>
      <c r="B349" s="39">
        <v>359</v>
      </c>
      <c r="C349" s="40" t="s">
        <v>433</v>
      </c>
      <c r="D349" s="40" t="s">
        <v>433</v>
      </c>
      <c r="E349" s="40" t="s">
        <v>88</v>
      </c>
      <c r="F349" s="41">
        <v>1</v>
      </c>
      <c r="G349" s="40" t="s">
        <v>89</v>
      </c>
    </row>
    <row r="350" spans="1:7" x14ac:dyDescent="0.3">
      <c r="A350" s="39">
        <v>360</v>
      </c>
      <c r="B350" s="39">
        <v>360</v>
      </c>
      <c r="C350" s="40" t="s">
        <v>434</v>
      </c>
      <c r="D350" s="40" t="s">
        <v>434</v>
      </c>
      <c r="E350" s="40" t="s">
        <v>88</v>
      </c>
      <c r="F350" s="41">
        <v>1</v>
      </c>
      <c r="G350" s="40" t="s">
        <v>89</v>
      </c>
    </row>
    <row r="351" spans="1:7" x14ac:dyDescent="0.3">
      <c r="A351" s="39">
        <v>361</v>
      </c>
      <c r="B351" s="39">
        <v>361</v>
      </c>
      <c r="C351" s="40" t="s">
        <v>435</v>
      </c>
      <c r="D351" s="40" t="s">
        <v>435</v>
      </c>
      <c r="E351" s="40" t="s">
        <v>88</v>
      </c>
      <c r="F351" s="41">
        <v>1</v>
      </c>
      <c r="G351" s="40" t="s">
        <v>89</v>
      </c>
    </row>
    <row r="352" spans="1:7" x14ac:dyDescent="0.3">
      <c r="A352" s="39">
        <v>362</v>
      </c>
      <c r="B352" s="39">
        <v>362</v>
      </c>
      <c r="C352" s="40" t="s">
        <v>436</v>
      </c>
      <c r="D352" s="40" t="s">
        <v>436</v>
      </c>
      <c r="E352" s="40" t="s">
        <v>88</v>
      </c>
      <c r="F352" s="41">
        <v>1</v>
      </c>
      <c r="G352" s="40" t="s">
        <v>89</v>
      </c>
    </row>
    <row r="353" spans="1:7" x14ac:dyDescent="0.3">
      <c r="A353" s="39">
        <v>363</v>
      </c>
      <c r="B353" s="39">
        <v>363</v>
      </c>
      <c r="C353" s="40" t="s">
        <v>437</v>
      </c>
      <c r="D353" s="40" t="s">
        <v>437</v>
      </c>
      <c r="E353" s="40" t="s">
        <v>88</v>
      </c>
      <c r="F353" s="41">
        <v>1</v>
      </c>
      <c r="G353" s="40" t="s">
        <v>89</v>
      </c>
    </row>
    <row r="354" spans="1:7" x14ac:dyDescent="0.3">
      <c r="A354" s="39">
        <v>364</v>
      </c>
      <c r="B354" s="39">
        <v>364</v>
      </c>
      <c r="C354" s="40" t="s">
        <v>438</v>
      </c>
      <c r="D354" s="40" t="s">
        <v>438</v>
      </c>
      <c r="E354" s="40" t="s">
        <v>88</v>
      </c>
      <c r="F354" s="41">
        <v>1</v>
      </c>
      <c r="G354" s="40" t="s">
        <v>89</v>
      </c>
    </row>
    <row r="355" spans="1:7" x14ac:dyDescent="0.3">
      <c r="A355" s="39">
        <v>365</v>
      </c>
      <c r="B355" s="39">
        <v>365</v>
      </c>
      <c r="C355" s="40" t="s">
        <v>439</v>
      </c>
      <c r="D355" s="40" t="s">
        <v>439</v>
      </c>
      <c r="E355" s="40" t="s">
        <v>88</v>
      </c>
      <c r="F355" s="41">
        <v>1</v>
      </c>
      <c r="G355" s="40" t="s">
        <v>89</v>
      </c>
    </row>
    <row r="356" spans="1:7" x14ac:dyDescent="0.3">
      <c r="A356" s="39">
        <v>905</v>
      </c>
      <c r="B356" s="39">
        <v>905</v>
      </c>
      <c r="C356" s="40" t="s">
        <v>440</v>
      </c>
      <c r="D356" s="40" t="s">
        <v>440</v>
      </c>
      <c r="E356" s="40" t="s">
        <v>88</v>
      </c>
      <c r="F356" s="41">
        <v>1</v>
      </c>
      <c r="G356" s="40" t="s">
        <v>89</v>
      </c>
    </row>
    <row r="357" spans="1:7" x14ac:dyDescent="0.3">
      <c r="A357" s="39">
        <v>367</v>
      </c>
      <c r="B357" s="39">
        <v>367</v>
      </c>
      <c r="C357" s="40" t="s">
        <v>441</v>
      </c>
      <c r="D357" s="40" t="s">
        <v>441</v>
      </c>
      <c r="E357" s="40" t="s">
        <v>88</v>
      </c>
      <c r="F357" s="41">
        <v>1</v>
      </c>
      <c r="G357" s="40" t="s">
        <v>89</v>
      </c>
    </row>
    <row r="358" spans="1:7" x14ac:dyDescent="0.3">
      <c r="A358" s="39">
        <v>368</v>
      </c>
      <c r="B358" s="39">
        <v>368</v>
      </c>
      <c r="C358" s="40" t="s">
        <v>442</v>
      </c>
      <c r="D358" s="40" t="s">
        <v>442</v>
      </c>
      <c r="E358" s="40" t="s">
        <v>88</v>
      </c>
      <c r="F358" s="41">
        <v>1</v>
      </c>
      <c r="G358" s="40" t="s">
        <v>89</v>
      </c>
    </row>
    <row r="359" spans="1:7" x14ac:dyDescent="0.3">
      <c r="A359" s="39">
        <v>369</v>
      </c>
      <c r="B359" s="39">
        <v>369</v>
      </c>
      <c r="C359" s="40" t="s">
        <v>443</v>
      </c>
      <c r="D359" s="40" t="s">
        <v>443</v>
      </c>
      <c r="E359" s="40" t="s">
        <v>88</v>
      </c>
      <c r="F359" s="41">
        <v>1</v>
      </c>
      <c r="G359" s="40" t="s">
        <v>89</v>
      </c>
    </row>
    <row r="360" spans="1:7" x14ac:dyDescent="0.3">
      <c r="A360" s="39">
        <v>370</v>
      </c>
      <c r="B360" s="39">
        <v>370</v>
      </c>
      <c r="C360" s="40" t="s">
        <v>444</v>
      </c>
      <c r="D360" s="40" t="s">
        <v>444</v>
      </c>
      <c r="E360" s="40" t="s">
        <v>88</v>
      </c>
      <c r="F360" s="41">
        <v>1</v>
      </c>
      <c r="G360" s="40" t="s">
        <v>89</v>
      </c>
    </row>
    <row r="361" spans="1:7" x14ac:dyDescent="0.3">
      <c r="A361" s="39">
        <v>371</v>
      </c>
      <c r="B361" s="39">
        <v>371</v>
      </c>
      <c r="C361" s="40" t="s">
        <v>445</v>
      </c>
      <c r="D361" s="40" t="s">
        <v>445</v>
      </c>
      <c r="E361" s="40" t="s">
        <v>88</v>
      </c>
      <c r="F361" s="41">
        <v>1</v>
      </c>
      <c r="G361" s="40" t="s">
        <v>89</v>
      </c>
    </row>
    <row r="362" spans="1:7" x14ac:dyDescent="0.3">
      <c r="A362" s="39">
        <v>372</v>
      </c>
      <c r="B362" s="39">
        <v>372</v>
      </c>
      <c r="C362" s="40" t="s">
        <v>446</v>
      </c>
      <c r="D362" s="40" t="s">
        <v>446</v>
      </c>
      <c r="E362" s="40" t="s">
        <v>88</v>
      </c>
      <c r="F362" s="41">
        <v>1</v>
      </c>
      <c r="G362" s="40" t="s">
        <v>89</v>
      </c>
    </row>
    <row r="363" spans="1:7" x14ac:dyDescent="0.3">
      <c r="A363" s="39">
        <v>373</v>
      </c>
      <c r="B363" s="39">
        <v>373</v>
      </c>
      <c r="C363" s="40" t="s">
        <v>447</v>
      </c>
      <c r="D363" s="40" t="s">
        <v>447</v>
      </c>
      <c r="E363" s="40" t="s">
        <v>88</v>
      </c>
      <c r="F363" s="41">
        <v>1</v>
      </c>
      <c r="G363" s="40" t="s">
        <v>89</v>
      </c>
    </row>
    <row r="364" spans="1:7" x14ac:dyDescent="0.3">
      <c r="A364" s="39">
        <v>374</v>
      </c>
      <c r="B364" s="39">
        <v>374</v>
      </c>
      <c r="C364" s="40" t="s">
        <v>448</v>
      </c>
      <c r="D364" s="40" t="s">
        <v>448</v>
      </c>
      <c r="E364" s="40" t="s">
        <v>88</v>
      </c>
      <c r="F364" s="41">
        <v>1</v>
      </c>
      <c r="G364" s="40" t="s">
        <v>89</v>
      </c>
    </row>
    <row r="365" spans="1:7" x14ac:dyDescent="0.3">
      <c r="A365" s="39">
        <v>375</v>
      </c>
      <c r="B365" s="39">
        <v>375</v>
      </c>
      <c r="C365" s="40" t="s">
        <v>449</v>
      </c>
      <c r="D365" s="40" t="s">
        <v>449</v>
      </c>
      <c r="E365" s="40" t="s">
        <v>88</v>
      </c>
      <c r="F365" s="41">
        <v>1</v>
      </c>
      <c r="G365" s="40" t="s">
        <v>89</v>
      </c>
    </row>
    <row r="366" spans="1:7" x14ac:dyDescent="0.3">
      <c r="A366" s="39">
        <v>376</v>
      </c>
      <c r="B366" s="39">
        <v>376</v>
      </c>
      <c r="C366" s="40" t="s">
        <v>450</v>
      </c>
      <c r="D366" s="40" t="s">
        <v>450</v>
      </c>
      <c r="E366" s="40" t="s">
        <v>88</v>
      </c>
      <c r="F366" s="41">
        <v>1</v>
      </c>
      <c r="G366" s="40" t="s">
        <v>89</v>
      </c>
    </row>
    <row r="367" spans="1:7" x14ac:dyDescent="0.3">
      <c r="A367" s="39">
        <v>377</v>
      </c>
      <c r="B367" s="39">
        <v>377</v>
      </c>
      <c r="C367" s="40" t="s">
        <v>451</v>
      </c>
      <c r="D367" s="40" t="s">
        <v>451</v>
      </c>
      <c r="E367" s="40" t="s">
        <v>88</v>
      </c>
      <c r="F367" s="41">
        <v>1</v>
      </c>
      <c r="G367" s="40" t="s">
        <v>89</v>
      </c>
    </row>
    <row r="368" spans="1:7" x14ac:dyDescent="0.3">
      <c r="A368" s="39">
        <v>378</v>
      </c>
      <c r="B368" s="39">
        <v>378</v>
      </c>
      <c r="C368" s="40" t="s">
        <v>452</v>
      </c>
      <c r="D368" s="40" t="s">
        <v>452</v>
      </c>
      <c r="E368" s="40" t="s">
        <v>88</v>
      </c>
      <c r="F368" s="41">
        <v>1</v>
      </c>
      <c r="G368" s="40" t="s">
        <v>89</v>
      </c>
    </row>
    <row r="369" spans="1:7" x14ac:dyDescent="0.3">
      <c r="A369" s="39">
        <v>379</v>
      </c>
      <c r="B369" s="39">
        <v>379</v>
      </c>
      <c r="C369" s="40" t="s">
        <v>453</v>
      </c>
      <c r="D369" s="40" t="s">
        <v>453</v>
      </c>
      <c r="E369" s="40" t="s">
        <v>88</v>
      </c>
      <c r="F369" s="41">
        <v>1</v>
      </c>
      <c r="G369" s="40" t="s">
        <v>89</v>
      </c>
    </row>
    <row r="370" spans="1:7" x14ac:dyDescent="0.3">
      <c r="A370" s="39">
        <v>380</v>
      </c>
      <c r="B370" s="39">
        <v>380</v>
      </c>
      <c r="C370" s="40" t="s">
        <v>454</v>
      </c>
      <c r="D370" s="40" t="s">
        <v>454</v>
      </c>
      <c r="E370" s="40" t="s">
        <v>88</v>
      </c>
      <c r="F370" s="41">
        <v>1</v>
      </c>
      <c r="G370" s="40" t="s">
        <v>89</v>
      </c>
    </row>
    <row r="371" spans="1:7" x14ac:dyDescent="0.3">
      <c r="A371" s="39">
        <v>381</v>
      </c>
      <c r="B371" s="39">
        <v>381</v>
      </c>
      <c r="C371" s="40" t="s">
        <v>455</v>
      </c>
      <c r="D371" s="40" t="s">
        <v>455</v>
      </c>
      <c r="E371" s="40" t="s">
        <v>88</v>
      </c>
      <c r="F371" s="41">
        <v>1</v>
      </c>
      <c r="G371" s="40" t="s">
        <v>89</v>
      </c>
    </row>
    <row r="372" spans="1:7" x14ac:dyDescent="0.3">
      <c r="A372" s="39">
        <v>382</v>
      </c>
      <c r="B372" s="39">
        <v>382</v>
      </c>
      <c r="C372" s="40" t="s">
        <v>456</v>
      </c>
      <c r="D372" s="40" t="s">
        <v>456</v>
      </c>
      <c r="E372" s="40" t="s">
        <v>88</v>
      </c>
      <c r="F372" s="41">
        <v>1</v>
      </c>
      <c r="G372" s="40" t="s">
        <v>89</v>
      </c>
    </row>
    <row r="373" spans="1:7" x14ac:dyDescent="0.3">
      <c r="A373" s="39">
        <v>383</v>
      </c>
      <c r="B373" s="39">
        <v>383</v>
      </c>
      <c r="C373" s="40" t="s">
        <v>457</v>
      </c>
      <c r="D373" s="40" t="s">
        <v>457</v>
      </c>
      <c r="E373" s="40" t="s">
        <v>88</v>
      </c>
      <c r="F373" s="41">
        <v>1</v>
      </c>
      <c r="G373" s="40" t="s">
        <v>89</v>
      </c>
    </row>
    <row r="374" spans="1:7" x14ac:dyDescent="0.3">
      <c r="A374" s="39">
        <v>927</v>
      </c>
      <c r="B374" s="39">
        <v>927</v>
      </c>
      <c r="C374" s="40" t="s">
        <v>458</v>
      </c>
      <c r="D374" s="40" t="s">
        <v>458</v>
      </c>
      <c r="E374" s="40" t="s">
        <v>88</v>
      </c>
      <c r="F374" s="41">
        <v>1</v>
      </c>
      <c r="G374" s="40" t="s">
        <v>89</v>
      </c>
    </row>
    <row r="375" spans="1:7" x14ac:dyDescent="0.3">
      <c r="A375" s="39">
        <v>385</v>
      </c>
      <c r="B375" s="39">
        <v>385</v>
      </c>
      <c r="C375" s="40" t="s">
        <v>459</v>
      </c>
      <c r="D375" s="40" t="s">
        <v>459</v>
      </c>
      <c r="E375" s="40" t="s">
        <v>88</v>
      </c>
      <c r="F375" s="41">
        <v>1</v>
      </c>
      <c r="G375" s="40" t="s">
        <v>89</v>
      </c>
    </row>
    <row r="376" spans="1:7" x14ac:dyDescent="0.3">
      <c r="A376" s="39">
        <v>386</v>
      </c>
      <c r="B376" s="39">
        <v>386</v>
      </c>
      <c r="C376" s="40" t="s">
        <v>460</v>
      </c>
      <c r="D376" s="40" t="s">
        <v>460</v>
      </c>
      <c r="E376" s="40" t="s">
        <v>88</v>
      </c>
      <c r="F376" s="41">
        <v>1</v>
      </c>
      <c r="G376" s="40" t="s">
        <v>89</v>
      </c>
    </row>
    <row r="377" spans="1:7" x14ac:dyDescent="0.3">
      <c r="A377" s="39">
        <v>387</v>
      </c>
      <c r="B377" s="39">
        <v>387</v>
      </c>
      <c r="C377" s="40" t="s">
        <v>461</v>
      </c>
      <c r="D377" s="40" t="s">
        <v>461</v>
      </c>
      <c r="E377" s="40" t="s">
        <v>88</v>
      </c>
      <c r="F377" s="41">
        <v>1</v>
      </c>
      <c r="G377" s="40" t="s">
        <v>89</v>
      </c>
    </row>
    <row r="378" spans="1:7" x14ac:dyDescent="0.3">
      <c r="A378" s="39">
        <v>388</v>
      </c>
      <c r="B378" s="39">
        <v>388</v>
      </c>
      <c r="C378" s="40" t="s">
        <v>462</v>
      </c>
      <c r="D378" s="40" t="s">
        <v>462</v>
      </c>
      <c r="E378" s="40" t="s">
        <v>88</v>
      </c>
      <c r="F378" s="41">
        <v>1</v>
      </c>
      <c r="G378" s="40" t="s">
        <v>89</v>
      </c>
    </row>
    <row r="379" spans="1:7" x14ac:dyDescent="0.3">
      <c r="A379" s="39">
        <v>389</v>
      </c>
      <c r="B379" s="39">
        <v>389</v>
      </c>
      <c r="C379" s="40" t="s">
        <v>463</v>
      </c>
      <c r="D379" s="40" t="s">
        <v>463</v>
      </c>
      <c r="E379" s="40" t="s">
        <v>88</v>
      </c>
      <c r="F379" s="41">
        <v>1</v>
      </c>
      <c r="G379" s="40" t="s">
        <v>89</v>
      </c>
    </row>
    <row r="380" spans="1:7" x14ac:dyDescent="0.3">
      <c r="A380" s="39">
        <v>390</v>
      </c>
      <c r="B380" s="39">
        <v>390</v>
      </c>
      <c r="C380" s="40" t="s">
        <v>464</v>
      </c>
      <c r="D380" s="40" t="s">
        <v>464</v>
      </c>
      <c r="E380" s="40" t="s">
        <v>88</v>
      </c>
      <c r="F380" s="41">
        <v>1</v>
      </c>
      <c r="G380" s="40" t="s">
        <v>89</v>
      </c>
    </row>
    <row r="381" spans="1:7" x14ac:dyDescent="0.3">
      <c r="A381" s="39">
        <v>391</v>
      </c>
      <c r="B381" s="39">
        <v>391</v>
      </c>
      <c r="C381" s="40" t="s">
        <v>465</v>
      </c>
      <c r="D381" s="40" t="s">
        <v>465</v>
      </c>
      <c r="E381" s="40" t="s">
        <v>88</v>
      </c>
      <c r="F381" s="41">
        <v>1</v>
      </c>
      <c r="G381" s="40" t="s">
        <v>89</v>
      </c>
    </row>
    <row r="382" spans="1:7" x14ac:dyDescent="0.3">
      <c r="A382" s="39">
        <v>392</v>
      </c>
      <c r="B382" s="39">
        <v>392</v>
      </c>
      <c r="C382" s="40" t="s">
        <v>466</v>
      </c>
      <c r="D382" s="40" t="s">
        <v>466</v>
      </c>
      <c r="E382" s="40" t="s">
        <v>88</v>
      </c>
      <c r="F382" s="41">
        <v>1</v>
      </c>
      <c r="G382" s="40" t="s">
        <v>89</v>
      </c>
    </row>
    <row r="383" spans="1:7" x14ac:dyDescent="0.3">
      <c r="A383" s="39">
        <v>393</v>
      </c>
      <c r="B383" s="39">
        <v>393</v>
      </c>
      <c r="C383" s="40" t="s">
        <v>467</v>
      </c>
      <c r="D383" s="40" t="s">
        <v>467</v>
      </c>
      <c r="E383" s="40" t="s">
        <v>88</v>
      </c>
      <c r="F383" s="41">
        <v>1</v>
      </c>
      <c r="G383" s="40" t="s">
        <v>89</v>
      </c>
    </row>
    <row r="384" spans="1:7" x14ac:dyDescent="0.3">
      <c r="A384" s="39">
        <v>394</v>
      </c>
      <c r="B384" s="39">
        <v>394</v>
      </c>
      <c r="C384" s="40" t="s">
        <v>468</v>
      </c>
      <c r="D384" s="40" t="s">
        <v>468</v>
      </c>
      <c r="E384" s="40" t="s">
        <v>88</v>
      </c>
      <c r="F384" s="41">
        <v>1</v>
      </c>
      <c r="G384" s="40" t="s">
        <v>89</v>
      </c>
    </row>
    <row r="385" spans="1:7" x14ac:dyDescent="0.3">
      <c r="A385" s="39">
        <v>395</v>
      </c>
      <c r="B385" s="39">
        <v>395</v>
      </c>
      <c r="C385" s="40" t="s">
        <v>469</v>
      </c>
      <c r="D385" s="40" t="s">
        <v>469</v>
      </c>
      <c r="E385" s="40" t="s">
        <v>88</v>
      </c>
      <c r="F385" s="41">
        <v>1</v>
      </c>
      <c r="G385" s="40" t="s">
        <v>89</v>
      </c>
    </row>
    <row r="386" spans="1:7" x14ac:dyDescent="0.3">
      <c r="A386" s="39">
        <v>396</v>
      </c>
      <c r="B386" s="39">
        <v>396</v>
      </c>
      <c r="C386" s="40" t="s">
        <v>470</v>
      </c>
      <c r="D386" s="40" t="s">
        <v>470</v>
      </c>
      <c r="E386" s="40" t="s">
        <v>88</v>
      </c>
      <c r="F386" s="41">
        <v>1</v>
      </c>
      <c r="G386" s="40" t="s">
        <v>89</v>
      </c>
    </row>
    <row r="387" spans="1:7" x14ac:dyDescent="0.3">
      <c r="A387" s="39">
        <v>397</v>
      </c>
      <c r="B387" s="39">
        <v>397</v>
      </c>
      <c r="C387" s="40" t="s">
        <v>471</v>
      </c>
      <c r="D387" s="40" t="s">
        <v>471</v>
      </c>
      <c r="E387" s="40" t="s">
        <v>88</v>
      </c>
      <c r="F387" s="41">
        <v>1</v>
      </c>
      <c r="G387" s="40" t="s">
        <v>89</v>
      </c>
    </row>
    <row r="388" spans="1:7" x14ac:dyDescent="0.3">
      <c r="A388" s="39">
        <v>398</v>
      </c>
      <c r="B388" s="39">
        <v>398</v>
      </c>
      <c r="C388" s="40" t="s">
        <v>472</v>
      </c>
      <c r="D388" s="40" t="s">
        <v>472</v>
      </c>
      <c r="E388" s="40" t="s">
        <v>88</v>
      </c>
      <c r="F388" s="41">
        <v>1</v>
      </c>
      <c r="G388" s="40" t="s">
        <v>89</v>
      </c>
    </row>
    <row r="389" spans="1:7" x14ac:dyDescent="0.3">
      <c r="A389" s="39">
        <v>399</v>
      </c>
      <c r="B389" s="39">
        <v>399</v>
      </c>
      <c r="C389" s="40" t="s">
        <v>473</v>
      </c>
      <c r="D389" s="40" t="s">
        <v>473</v>
      </c>
      <c r="E389" s="40" t="s">
        <v>88</v>
      </c>
      <c r="F389" s="41">
        <v>1</v>
      </c>
      <c r="G389" s="40" t="s">
        <v>89</v>
      </c>
    </row>
    <row r="390" spans="1:7" x14ac:dyDescent="0.3">
      <c r="A390" s="39">
        <v>400</v>
      </c>
      <c r="B390" s="39">
        <v>400</v>
      </c>
      <c r="C390" s="40" t="s">
        <v>474</v>
      </c>
      <c r="D390" s="40" t="s">
        <v>474</v>
      </c>
      <c r="E390" s="40" t="s">
        <v>88</v>
      </c>
      <c r="F390" s="41">
        <v>1</v>
      </c>
      <c r="G390" s="40" t="s">
        <v>89</v>
      </c>
    </row>
    <row r="391" spans="1:7" x14ac:dyDescent="0.3">
      <c r="A391" s="39">
        <v>401</v>
      </c>
      <c r="B391" s="39">
        <v>401</v>
      </c>
      <c r="C391" s="40" t="s">
        <v>475</v>
      </c>
      <c r="D391" s="40" t="s">
        <v>475</v>
      </c>
      <c r="E391" s="40" t="s">
        <v>88</v>
      </c>
      <c r="F391" s="41">
        <v>1</v>
      </c>
      <c r="G391" s="40" t="s">
        <v>89</v>
      </c>
    </row>
    <row r="392" spans="1:7" x14ac:dyDescent="0.3">
      <c r="A392" s="39">
        <v>402</v>
      </c>
      <c r="B392" s="39">
        <v>402</v>
      </c>
      <c r="C392" s="40" t="s">
        <v>476</v>
      </c>
      <c r="D392" s="40" t="s">
        <v>476</v>
      </c>
      <c r="E392" s="40" t="s">
        <v>88</v>
      </c>
      <c r="F392" s="41">
        <v>1</v>
      </c>
      <c r="G392" s="40" t="s">
        <v>89</v>
      </c>
    </row>
    <row r="393" spans="1:7" x14ac:dyDescent="0.3">
      <c r="A393" s="39">
        <v>403</v>
      </c>
      <c r="B393" s="39">
        <v>403</v>
      </c>
      <c r="C393" s="40" t="s">
        <v>477</v>
      </c>
      <c r="D393" s="40" t="s">
        <v>477</v>
      </c>
      <c r="E393" s="40" t="s">
        <v>88</v>
      </c>
      <c r="F393" s="41">
        <v>1</v>
      </c>
      <c r="G393" s="40" t="s">
        <v>89</v>
      </c>
    </row>
    <row r="394" spans="1:7" x14ac:dyDescent="0.3">
      <c r="A394" s="39">
        <v>404</v>
      </c>
      <c r="B394" s="39">
        <v>404</v>
      </c>
      <c r="C394" s="40" t="s">
        <v>478</v>
      </c>
      <c r="D394" s="40" t="s">
        <v>478</v>
      </c>
      <c r="E394" s="40" t="s">
        <v>88</v>
      </c>
      <c r="F394" s="41">
        <v>1</v>
      </c>
      <c r="G394" s="40" t="s">
        <v>89</v>
      </c>
    </row>
    <row r="395" spans="1:7" x14ac:dyDescent="0.3">
      <c r="A395" s="39">
        <v>405</v>
      </c>
      <c r="B395" s="39">
        <v>405</v>
      </c>
      <c r="C395" s="40" t="s">
        <v>479</v>
      </c>
      <c r="D395" s="40" t="s">
        <v>479</v>
      </c>
      <c r="E395" s="40" t="s">
        <v>88</v>
      </c>
      <c r="F395" s="41">
        <v>1</v>
      </c>
      <c r="G395" s="40" t="s">
        <v>89</v>
      </c>
    </row>
    <row r="396" spans="1:7" x14ac:dyDescent="0.3">
      <c r="A396" s="39">
        <v>406</v>
      </c>
      <c r="B396" s="39">
        <v>406</v>
      </c>
      <c r="C396" s="40" t="s">
        <v>480</v>
      </c>
      <c r="D396" s="40" t="s">
        <v>480</v>
      </c>
      <c r="E396" s="40" t="s">
        <v>88</v>
      </c>
      <c r="F396" s="41">
        <v>1</v>
      </c>
      <c r="G396" s="40" t="s">
        <v>89</v>
      </c>
    </row>
    <row r="397" spans="1:7" x14ac:dyDescent="0.3">
      <c r="A397" s="39">
        <v>407</v>
      </c>
      <c r="B397" s="39">
        <v>407</v>
      </c>
      <c r="C397" s="40" t="s">
        <v>481</v>
      </c>
      <c r="D397" s="40" t="s">
        <v>481</v>
      </c>
      <c r="E397" s="40" t="s">
        <v>88</v>
      </c>
      <c r="F397" s="41">
        <v>1</v>
      </c>
      <c r="G397" s="40" t="s">
        <v>89</v>
      </c>
    </row>
    <row r="398" spans="1:7" x14ac:dyDescent="0.3">
      <c r="A398" s="39">
        <v>408</v>
      </c>
      <c r="B398" s="39">
        <v>408</v>
      </c>
      <c r="C398" s="40" t="s">
        <v>482</v>
      </c>
      <c r="D398" s="40" t="s">
        <v>482</v>
      </c>
      <c r="E398" s="40" t="s">
        <v>88</v>
      </c>
      <c r="F398" s="41">
        <v>1</v>
      </c>
      <c r="G398" s="40" t="s">
        <v>89</v>
      </c>
    </row>
    <row r="399" spans="1:7" x14ac:dyDescent="0.3">
      <c r="A399" s="39">
        <v>409</v>
      </c>
      <c r="B399" s="39">
        <v>409</v>
      </c>
      <c r="C399" s="40" t="s">
        <v>483</v>
      </c>
      <c r="D399" s="40" t="s">
        <v>483</v>
      </c>
      <c r="E399" s="40" t="s">
        <v>88</v>
      </c>
      <c r="F399" s="41">
        <v>1</v>
      </c>
      <c r="G399" s="40" t="s">
        <v>89</v>
      </c>
    </row>
    <row r="400" spans="1:7" x14ac:dyDescent="0.3">
      <c r="A400" s="39">
        <v>410</v>
      </c>
      <c r="B400" s="39">
        <v>410</v>
      </c>
      <c r="C400" s="40" t="s">
        <v>484</v>
      </c>
      <c r="D400" s="40" t="s">
        <v>484</v>
      </c>
      <c r="E400" s="40" t="s">
        <v>88</v>
      </c>
      <c r="F400" s="41">
        <v>1</v>
      </c>
      <c r="G400" s="40" t="s">
        <v>89</v>
      </c>
    </row>
    <row r="401" spans="1:7" x14ac:dyDescent="0.3">
      <c r="A401" s="39">
        <v>411</v>
      </c>
      <c r="B401" s="39">
        <v>411</v>
      </c>
      <c r="C401" s="40" t="s">
        <v>485</v>
      </c>
      <c r="D401" s="40" t="s">
        <v>485</v>
      </c>
      <c r="E401" s="40" t="s">
        <v>88</v>
      </c>
      <c r="F401" s="41">
        <v>1</v>
      </c>
      <c r="G401" s="40" t="s">
        <v>89</v>
      </c>
    </row>
    <row r="402" spans="1:7" x14ac:dyDescent="0.3">
      <c r="A402" s="39">
        <v>412</v>
      </c>
      <c r="B402" s="39">
        <v>412</v>
      </c>
      <c r="C402" s="40" t="s">
        <v>486</v>
      </c>
      <c r="D402" s="40" t="s">
        <v>486</v>
      </c>
      <c r="E402" s="40" t="s">
        <v>88</v>
      </c>
      <c r="F402" s="41">
        <v>1</v>
      </c>
      <c r="G402" s="40" t="s">
        <v>89</v>
      </c>
    </row>
    <row r="403" spans="1:7" x14ac:dyDescent="0.3">
      <c r="A403" s="39">
        <v>413</v>
      </c>
      <c r="B403" s="39">
        <v>413</v>
      </c>
      <c r="C403" s="40" t="s">
        <v>487</v>
      </c>
      <c r="D403" s="40" t="s">
        <v>487</v>
      </c>
      <c r="E403" s="40" t="s">
        <v>88</v>
      </c>
      <c r="F403" s="41">
        <v>1</v>
      </c>
      <c r="G403" s="40" t="s">
        <v>89</v>
      </c>
    </row>
    <row r="404" spans="1:7" x14ac:dyDescent="0.3">
      <c r="A404" s="39">
        <v>414</v>
      </c>
      <c r="B404" s="39">
        <v>414</v>
      </c>
      <c r="C404" s="40" t="s">
        <v>488</v>
      </c>
      <c r="D404" s="40" t="s">
        <v>488</v>
      </c>
      <c r="E404" s="40" t="s">
        <v>88</v>
      </c>
      <c r="F404" s="41">
        <v>1</v>
      </c>
      <c r="G404" s="40" t="s">
        <v>89</v>
      </c>
    </row>
    <row r="405" spans="1:7" x14ac:dyDescent="0.3">
      <c r="A405" s="39">
        <v>415</v>
      </c>
      <c r="B405" s="39">
        <v>415</v>
      </c>
      <c r="C405" s="40" t="s">
        <v>489</v>
      </c>
      <c r="D405" s="40" t="s">
        <v>489</v>
      </c>
      <c r="E405" s="40" t="s">
        <v>88</v>
      </c>
      <c r="F405" s="41">
        <v>1</v>
      </c>
      <c r="G405" s="40" t="s">
        <v>89</v>
      </c>
    </row>
    <row r="406" spans="1:7" x14ac:dyDescent="0.3">
      <c r="A406" s="39">
        <v>416</v>
      </c>
      <c r="B406" s="39">
        <v>416</v>
      </c>
      <c r="C406" s="40" t="s">
        <v>490</v>
      </c>
      <c r="D406" s="40" t="s">
        <v>490</v>
      </c>
      <c r="E406" s="40" t="s">
        <v>88</v>
      </c>
      <c r="F406" s="41">
        <v>1</v>
      </c>
      <c r="G406" s="40" t="s">
        <v>89</v>
      </c>
    </row>
    <row r="407" spans="1:7" x14ac:dyDescent="0.3">
      <c r="A407" s="39">
        <v>964</v>
      </c>
      <c r="B407" s="39">
        <v>964</v>
      </c>
      <c r="C407" s="40" t="s">
        <v>491</v>
      </c>
      <c r="D407" s="40" t="s">
        <v>491</v>
      </c>
      <c r="E407" s="40" t="s">
        <v>88</v>
      </c>
      <c r="F407" s="41">
        <v>1</v>
      </c>
      <c r="G407" s="40" t="s">
        <v>89</v>
      </c>
    </row>
    <row r="408" spans="1:7" x14ac:dyDescent="0.3">
      <c r="A408" s="39">
        <v>418</v>
      </c>
      <c r="B408" s="39">
        <v>418</v>
      </c>
      <c r="C408" s="40" t="s">
        <v>492</v>
      </c>
      <c r="D408" s="40" t="s">
        <v>492</v>
      </c>
      <c r="E408" s="40" t="s">
        <v>88</v>
      </c>
      <c r="F408" s="41">
        <v>1</v>
      </c>
      <c r="G408" s="40" t="s">
        <v>89</v>
      </c>
    </row>
    <row r="409" spans="1:7" x14ac:dyDescent="0.3">
      <c r="A409" s="39">
        <v>839</v>
      </c>
      <c r="B409" s="39">
        <v>839</v>
      </c>
      <c r="C409" s="40" t="s">
        <v>493</v>
      </c>
      <c r="D409" s="40" t="s">
        <v>493</v>
      </c>
      <c r="E409" s="40" t="s">
        <v>88</v>
      </c>
      <c r="F409" s="41">
        <v>1</v>
      </c>
      <c r="G409" s="40" t="s">
        <v>89</v>
      </c>
    </row>
    <row r="410" spans="1:7" x14ac:dyDescent="0.3">
      <c r="A410" s="39">
        <v>421</v>
      </c>
      <c r="B410" s="39">
        <v>421</v>
      </c>
      <c r="C410" s="40" t="s">
        <v>494</v>
      </c>
      <c r="D410" s="40" t="s">
        <v>494</v>
      </c>
      <c r="E410" s="40" t="s">
        <v>88</v>
      </c>
      <c r="F410" s="41">
        <v>1</v>
      </c>
      <c r="G410" s="40" t="s">
        <v>89</v>
      </c>
    </row>
    <row r="411" spans="1:7" x14ac:dyDescent="0.3">
      <c r="A411" s="39">
        <v>422</v>
      </c>
      <c r="B411" s="39">
        <v>422</v>
      </c>
      <c r="C411" s="40" t="s">
        <v>495</v>
      </c>
      <c r="D411" s="40" t="s">
        <v>495</v>
      </c>
      <c r="E411" s="40" t="s">
        <v>88</v>
      </c>
      <c r="F411" s="41">
        <v>1</v>
      </c>
      <c r="G411" s="40" t="s">
        <v>89</v>
      </c>
    </row>
    <row r="412" spans="1:7" x14ac:dyDescent="0.3">
      <c r="A412" s="39">
        <v>423</v>
      </c>
      <c r="B412" s="39">
        <v>423</v>
      </c>
      <c r="C412" s="40" t="s">
        <v>496</v>
      </c>
      <c r="D412" s="40" t="s">
        <v>496</v>
      </c>
      <c r="E412" s="40" t="s">
        <v>88</v>
      </c>
      <c r="F412" s="41">
        <v>1</v>
      </c>
      <c r="G412" s="40" t="s">
        <v>89</v>
      </c>
    </row>
    <row r="413" spans="1:7" x14ac:dyDescent="0.3">
      <c r="A413" s="39">
        <v>424</v>
      </c>
      <c r="B413" s="39">
        <v>424</v>
      </c>
      <c r="C413" s="40" t="s">
        <v>497</v>
      </c>
      <c r="D413" s="40" t="s">
        <v>497</v>
      </c>
      <c r="E413" s="40" t="s">
        <v>88</v>
      </c>
      <c r="F413" s="41">
        <v>1</v>
      </c>
      <c r="G413" s="40" t="s">
        <v>89</v>
      </c>
    </row>
    <row r="414" spans="1:7" x14ac:dyDescent="0.3">
      <c r="A414" s="39">
        <v>425</v>
      </c>
      <c r="B414" s="39">
        <v>425</v>
      </c>
      <c r="C414" s="40" t="s">
        <v>498</v>
      </c>
      <c r="D414" s="40" t="s">
        <v>498</v>
      </c>
      <c r="E414" s="40" t="s">
        <v>88</v>
      </c>
      <c r="F414" s="41">
        <v>1</v>
      </c>
      <c r="G414" s="40" t="s">
        <v>89</v>
      </c>
    </row>
    <row r="415" spans="1:7" x14ac:dyDescent="0.3">
      <c r="A415" s="39">
        <v>426</v>
      </c>
      <c r="B415" s="39">
        <v>426</v>
      </c>
      <c r="C415" s="40" t="s">
        <v>499</v>
      </c>
      <c r="D415" s="40" t="s">
        <v>499</v>
      </c>
      <c r="E415" s="40" t="s">
        <v>88</v>
      </c>
      <c r="F415" s="41">
        <v>1</v>
      </c>
      <c r="G415" s="40" t="s">
        <v>89</v>
      </c>
    </row>
    <row r="416" spans="1:7" x14ac:dyDescent="0.3">
      <c r="A416" s="39">
        <v>427</v>
      </c>
      <c r="B416" s="39">
        <v>427</v>
      </c>
      <c r="C416" s="40" t="s">
        <v>500</v>
      </c>
      <c r="D416" s="40" t="s">
        <v>500</v>
      </c>
      <c r="E416" s="40" t="s">
        <v>88</v>
      </c>
      <c r="F416" s="41">
        <v>1</v>
      </c>
      <c r="G416" s="40" t="s">
        <v>89</v>
      </c>
    </row>
    <row r="417" spans="1:7" x14ac:dyDescent="0.3">
      <c r="A417" s="39">
        <v>428</v>
      </c>
      <c r="B417" s="39">
        <v>428</v>
      </c>
      <c r="C417" s="40" t="s">
        <v>501</v>
      </c>
      <c r="D417" s="40" t="s">
        <v>501</v>
      </c>
      <c r="E417" s="40" t="s">
        <v>88</v>
      </c>
      <c r="F417" s="41">
        <v>1</v>
      </c>
      <c r="G417" s="40" t="s">
        <v>89</v>
      </c>
    </row>
    <row r="418" spans="1:7" x14ac:dyDescent="0.3">
      <c r="A418" s="39">
        <v>429</v>
      </c>
      <c r="B418" s="39">
        <v>429</v>
      </c>
      <c r="C418" s="40" t="s">
        <v>502</v>
      </c>
      <c r="D418" s="40" t="s">
        <v>502</v>
      </c>
      <c r="E418" s="40" t="s">
        <v>88</v>
      </c>
      <c r="F418" s="41">
        <v>1</v>
      </c>
      <c r="G418" s="40" t="s">
        <v>89</v>
      </c>
    </row>
    <row r="419" spans="1:7" x14ac:dyDescent="0.3">
      <c r="A419" s="39">
        <v>430</v>
      </c>
      <c r="B419" s="39">
        <v>430</v>
      </c>
      <c r="C419" s="40" t="s">
        <v>503</v>
      </c>
      <c r="D419" s="40" t="s">
        <v>503</v>
      </c>
      <c r="E419" s="40" t="s">
        <v>88</v>
      </c>
      <c r="F419" s="41">
        <v>1</v>
      </c>
      <c r="G419" s="40" t="s">
        <v>89</v>
      </c>
    </row>
    <row r="420" spans="1:7" x14ac:dyDescent="0.3">
      <c r="A420" s="39">
        <v>431</v>
      </c>
      <c r="B420" s="39">
        <v>431</v>
      </c>
      <c r="C420" s="40" t="s">
        <v>504</v>
      </c>
      <c r="D420" s="40" t="s">
        <v>504</v>
      </c>
      <c r="E420" s="40" t="s">
        <v>88</v>
      </c>
      <c r="F420" s="41">
        <v>1</v>
      </c>
      <c r="G420" s="40" t="s">
        <v>89</v>
      </c>
    </row>
    <row r="421" spans="1:7" x14ac:dyDescent="0.3">
      <c r="A421" s="39">
        <v>432</v>
      </c>
      <c r="B421" s="39">
        <v>432</v>
      </c>
      <c r="C421" s="40" t="s">
        <v>505</v>
      </c>
      <c r="D421" s="40" t="s">
        <v>505</v>
      </c>
      <c r="E421" s="40" t="s">
        <v>88</v>
      </c>
      <c r="F421" s="41">
        <v>1</v>
      </c>
      <c r="G421" s="40" t="s">
        <v>89</v>
      </c>
    </row>
    <row r="422" spans="1:7" x14ac:dyDescent="0.3">
      <c r="A422" s="39">
        <v>433</v>
      </c>
      <c r="B422" s="39">
        <v>433</v>
      </c>
      <c r="C422" s="40" t="s">
        <v>506</v>
      </c>
      <c r="D422" s="40" t="s">
        <v>506</v>
      </c>
      <c r="E422" s="40" t="s">
        <v>88</v>
      </c>
      <c r="F422" s="41">
        <v>1</v>
      </c>
      <c r="G422" s="40" t="s">
        <v>89</v>
      </c>
    </row>
    <row r="423" spans="1:7" x14ac:dyDescent="0.3">
      <c r="A423" s="39">
        <v>434</v>
      </c>
      <c r="B423" s="39">
        <v>434</v>
      </c>
      <c r="C423" s="40" t="s">
        <v>507</v>
      </c>
      <c r="D423" s="40" t="s">
        <v>507</v>
      </c>
      <c r="E423" s="40" t="s">
        <v>88</v>
      </c>
      <c r="F423" s="41">
        <v>1</v>
      </c>
      <c r="G423" s="40" t="s">
        <v>89</v>
      </c>
    </row>
    <row r="424" spans="1:7" x14ac:dyDescent="0.3">
      <c r="A424" s="39">
        <v>435</v>
      </c>
      <c r="B424" s="39">
        <v>435</v>
      </c>
      <c r="C424" s="40" t="s">
        <v>508</v>
      </c>
      <c r="D424" s="40" t="s">
        <v>508</v>
      </c>
      <c r="E424" s="40" t="s">
        <v>88</v>
      </c>
      <c r="F424" s="41">
        <v>1</v>
      </c>
      <c r="G424" s="40" t="s">
        <v>89</v>
      </c>
    </row>
    <row r="425" spans="1:7" x14ac:dyDescent="0.3">
      <c r="A425" s="39">
        <v>436</v>
      </c>
      <c r="B425" s="39">
        <v>436</v>
      </c>
      <c r="C425" s="40" t="s">
        <v>509</v>
      </c>
      <c r="D425" s="40" t="s">
        <v>509</v>
      </c>
      <c r="E425" s="40" t="s">
        <v>88</v>
      </c>
      <c r="F425" s="41">
        <v>1</v>
      </c>
      <c r="G425" s="40" t="s">
        <v>89</v>
      </c>
    </row>
    <row r="426" spans="1:7" x14ac:dyDescent="0.3">
      <c r="A426" s="39">
        <v>437</v>
      </c>
      <c r="B426" s="39">
        <v>437</v>
      </c>
      <c r="C426" s="40" t="s">
        <v>510</v>
      </c>
      <c r="D426" s="40" t="s">
        <v>510</v>
      </c>
      <c r="E426" s="40" t="s">
        <v>88</v>
      </c>
      <c r="F426" s="41">
        <v>1</v>
      </c>
      <c r="G426" s="40" t="s">
        <v>89</v>
      </c>
    </row>
    <row r="427" spans="1:7" x14ac:dyDescent="0.3">
      <c r="A427" s="39">
        <v>438</v>
      </c>
      <c r="B427" s="39">
        <v>438</v>
      </c>
      <c r="C427" s="40" t="s">
        <v>511</v>
      </c>
      <c r="D427" s="40" t="s">
        <v>511</v>
      </c>
      <c r="E427" s="40" t="s">
        <v>88</v>
      </c>
      <c r="F427" s="41">
        <v>1</v>
      </c>
      <c r="G427" s="40" t="s">
        <v>89</v>
      </c>
    </row>
    <row r="428" spans="1:7" x14ac:dyDescent="0.3">
      <c r="A428" s="39">
        <v>439</v>
      </c>
      <c r="B428" s="39">
        <v>439</v>
      </c>
      <c r="C428" s="40" t="s">
        <v>512</v>
      </c>
      <c r="D428" s="40" t="s">
        <v>512</v>
      </c>
      <c r="E428" s="40" t="s">
        <v>88</v>
      </c>
      <c r="F428" s="41">
        <v>1</v>
      </c>
      <c r="G428" s="40" t="s">
        <v>89</v>
      </c>
    </row>
    <row r="429" spans="1:7" x14ac:dyDescent="0.3">
      <c r="A429" s="39">
        <v>440</v>
      </c>
      <c r="B429" s="39">
        <v>440</v>
      </c>
      <c r="C429" s="40" t="s">
        <v>513</v>
      </c>
      <c r="D429" s="40" t="s">
        <v>513</v>
      </c>
      <c r="E429" s="40" t="s">
        <v>88</v>
      </c>
      <c r="F429" s="41">
        <v>1</v>
      </c>
      <c r="G429" s="40" t="s">
        <v>89</v>
      </c>
    </row>
    <row r="430" spans="1:7" x14ac:dyDescent="0.3">
      <c r="A430" s="39">
        <v>441</v>
      </c>
      <c r="B430" s="39">
        <v>441</v>
      </c>
      <c r="C430" s="40" t="s">
        <v>514</v>
      </c>
      <c r="D430" s="40" t="s">
        <v>514</v>
      </c>
      <c r="E430" s="40" t="s">
        <v>88</v>
      </c>
      <c r="F430" s="41">
        <v>1</v>
      </c>
      <c r="G430" s="40" t="s">
        <v>89</v>
      </c>
    </row>
    <row r="431" spans="1:7" x14ac:dyDescent="0.3">
      <c r="A431" s="39">
        <v>442</v>
      </c>
      <c r="B431" s="39">
        <v>442</v>
      </c>
      <c r="C431" s="40" t="s">
        <v>515</v>
      </c>
      <c r="D431" s="40" t="s">
        <v>515</v>
      </c>
      <c r="E431" s="40" t="s">
        <v>88</v>
      </c>
      <c r="F431" s="41">
        <v>1</v>
      </c>
      <c r="G431" s="40" t="s">
        <v>89</v>
      </c>
    </row>
    <row r="432" spans="1:7" x14ac:dyDescent="0.3">
      <c r="A432" s="39">
        <v>443</v>
      </c>
      <c r="B432" s="39">
        <v>443</v>
      </c>
      <c r="C432" s="40" t="s">
        <v>516</v>
      </c>
      <c r="D432" s="40" t="s">
        <v>516</v>
      </c>
      <c r="E432" s="40" t="s">
        <v>88</v>
      </c>
      <c r="F432" s="41">
        <v>1</v>
      </c>
      <c r="G432" s="40" t="s">
        <v>89</v>
      </c>
    </row>
    <row r="433" spans="1:7" x14ac:dyDescent="0.3">
      <c r="A433" s="39">
        <v>444</v>
      </c>
      <c r="B433" s="39">
        <v>444</v>
      </c>
      <c r="C433" s="40" t="s">
        <v>517</v>
      </c>
      <c r="D433" s="40" t="s">
        <v>517</v>
      </c>
      <c r="E433" s="40" t="s">
        <v>88</v>
      </c>
      <c r="F433" s="41">
        <v>1</v>
      </c>
      <c r="G433" s="40" t="s">
        <v>89</v>
      </c>
    </row>
    <row r="434" spans="1:7" x14ac:dyDescent="0.3">
      <c r="A434" s="39">
        <v>445</v>
      </c>
      <c r="B434" s="39">
        <v>445</v>
      </c>
      <c r="C434" s="40" t="s">
        <v>518</v>
      </c>
      <c r="D434" s="40" t="s">
        <v>518</v>
      </c>
      <c r="E434" s="40" t="s">
        <v>88</v>
      </c>
      <c r="F434" s="41">
        <v>1</v>
      </c>
      <c r="G434" s="40" t="s">
        <v>89</v>
      </c>
    </row>
    <row r="435" spans="1:7" x14ac:dyDescent="0.3">
      <c r="A435" s="39">
        <v>446</v>
      </c>
      <c r="B435" s="39">
        <v>446</v>
      </c>
      <c r="C435" s="40" t="s">
        <v>519</v>
      </c>
      <c r="D435" s="40" t="s">
        <v>519</v>
      </c>
      <c r="E435" s="40" t="s">
        <v>88</v>
      </c>
      <c r="F435" s="41">
        <v>1</v>
      </c>
      <c r="G435" s="40" t="s">
        <v>89</v>
      </c>
    </row>
    <row r="436" spans="1:7" x14ac:dyDescent="0.3">
      <c r="A436" s="39">
        <v>447</v>
      </c>
      <c r="B436" s="39">
        <v>447</v>
      </c>
      <c r="C436" s="40" t="s">
        <v>520</v>
      </c>
      <c r="D436" s="40" t="s">
        <v>520</v>
      </c>
      <c r="E436" s="40" t="s">
        <v>88</v>
      </c>
      <c r="F436" s="41">
        <v>1</v>
      </c>
      <c r="G436" s="40" t="s">
        <v>89</v>
      </c>
    </row>
    <row r="437" spans="1:7" x14ac:dyDescent="0.3">
      <c r="A437" s="39">
        <v>989</v>
      </c>
      <c r="B437" s="39">
        <v>989</v>
      </c>
      <c r="C437" s="40" t="s">
        <v>521</v>
      </c>
      <c r="D437" s="40" t="s">
        <v>521</v>
      </c>
      <c r="E437" s="40" t="s">
        <v>88</v>
      </c>
      <c r="F437" s="41">
        <v>1</v>
      </c>
      <c r="G437" s="40" t="s">
        <v>89</v>
      </c>
    </row>
    <row r="438" spans="1:7" x14ac:dyDescent="0.3">
      <c r="A438" s="39">
        <v>449</v>
      </c>
      <c r="B438" s="39">
        <v>449</v>
      </c>
      <c r="C438" s="40" t="s">
        <v>522</v>
      </c>
      <c r="D438" s="40" t="s">
        <v>522</v>
      </c>
      <c r="E438" s="40" t="s">
        <v>88</v>
      </c>
      <c r="F438" s="41">
        <v>1</v>
      </c>
      <c r="G438" s="40" t="s">
        <v>89</v>
      </c>
    </row>
    <row r="439" spans="1:7" x14ac:dyDescent="0.3">
      <c r="A439" s="39">
        <v>450</v>
      </c>
      <c r="B439" s="39">
        <v>450</v>
      </c>
      <c r="C439" s="40" t="s">
        <v>523</v>
      </c>
      <c r="D439" s="40" t="s">
        <v>523</v>
      </c>
      <c r="E439" s="40" t="s">
        <v>88</v>
      </c>
      <c r="F439" s="41">
        <v>1</v>
      </c>
      <c r="G439" s="40" t="s">
        <v>89</v>
      </c>
    </row>
    <row r="440" spans="1:7" x14ac:dyDescent="0.3">
      <c r="A440" s="39">
        <v>451</v>
      </c>
      <c r="B440" s="39">
        <v>451</v>
      </c>
      <c r="C440" s="40" t="s">
        <v>524</v>
      </c>
      <c r="D440" s="40" t="s">
        <v>524</v>
      </c>
      <c r="E440" s="40" t="s">
        <v>88</v>
      </c>
      <c r="F440" s="41">
        <v>1</v>
      </c>
      <c r="G440" s="40" t="s">
        <v>89</v>
      </c>
    </row>
    <row r="441" spans="1:7" x14ac:dyDescent="0.3">
      <c r="A441" s="39">
        <v>452</v>
      </c>
      <c r="B441" s="39">
        <v>452</v>
      </c>
      <c r="C441" s="40" t="s">
        <v>525</v>
      </c>
      <c r="D441" s="40" t="s">
        <v>525</v>
      </c>
      <c r="E441" s="40" t="s">
        <v>88</v>
      </c>
      <c r="F441" s="41">
        <v>1</v>
      </c>
      <c r="G441" s="40" t="s">
        <v>89</v>
      </c>
    </row>
    <row r="442" spans="1:7" x14ac:dyDescent="0.3">
      <c r="A442" s="39">
        <v>453</v>
      </c>
      <c r="B442" s="39">
        <v>453</v>
      </c>
      <c r="C442" s="40" t="s">
        <v>526</v>
      </c>
      <c r="D442" s="40" t="s">
        <v>526</v>
      </c>
      <c r="E442" s="40" t="s">
        <v>88</v>
      </c>
      <c r="F442" s="41">
        <v>1</v>
      </c>
      <c r="G442" s="40" t="s">
        <v>89</v>
      </c>
    </row>
    <row r="443" spans="1:7" x14ac:dyDescent="0.3">
      <c r="A443" s="39">
        <v>454</v>
      </c>
      <c r="B443" s="39">
        <v>454</v>
      </c>
      <c r="C443" s="40" t="s">
        <v>527</v>
      </c>
      <c r="D443" s="40" t="s">
        <v>527</v>
      </c>
      <c r="E443" s="40" t="s">
        <v>88</v>
      </c>
      <c r="F443" s="41">
        <v>1</v>
      </c>
      <c r="G443" s="40" t="s">
        <v>89</v>
      </c>
    </row>
    <row r="444" spans="1:7" x14ac:dyDescent="0.3">
      <c r="A444" s="39">
        <v>455</v>
      </c>
      <c r="B444" s="39">
        <v>455</v>
      </c>
      <c r="C444" s="40" t="s">
        <v>528</v>
      </c>
      <c r="D444" s="40" t="s">
        <v>528</v>
      </c>
      <c r="E444" s="40" t="s">
        <v>88</v>
      </c>
      <c r="F444" s="41">
        <v>1</v>
      </c>
      <c r="G444" s="40" t="s">
        <v>89</v>
      </c>
    </row>
    <row r="445" spans="1:7" x14ac:dyDescent="0.3">
      <c r="A445" s="39">
        <v>456</v>
      </c>
      <c r="B445" s="39">
        <v>456</v>
      </c>
      <c r="C445" s="40" t="s">
        <v>529</v>
      </c>
      <c r="D445" s="40" t="s">
        <v>529</v>
      </c>
      <c r="E445" s="40" t="s">
        <v>88</v>
      </c>
      <c r="F445" s="41">
        <v>1</v>
      </c>
      <c r="G445" s="40" t="s">
        <v>89</v>
      </c>
    </row>
    <row r="446" spans="1:7" x14ac:dyDescent="0.3">
      <c r="A446" s="39">
        <v>457</v>
      </c>
      <c r="B446" s="39">
        <v>457</v>
      </c>
      <c r="C446" s="40" t="s">
        <v>530</v>
      </c>
      <c r="D446" s="40" t="s">
        <v>530</v>
      </c>
      <c r="E446" s="40" t="s">
        <v>88</v>
      </c>
      <c r="F446" s="41">
        <v>1</v>
      </c>
      <c r="G446" s="40" t="s">
        <v>89</v>
      </c>
    </row>
    <row r="447" spans="1:7" x14ac:dyDescent="0.3">
      <c r="A447" s="39">
        <v>458</v>
      </c>
      <c r="B447" s="39">
        <v>458</v>
      </c>
      <c r="C447" s="40" t="s">
        <v>531</v>
      </c>
      <c r="D447" s="40" t="s">
        <v>531</v>
      </c>
      <c r="E447" s="40" t="s">
        <v>88</v>
      </c>
      <c r="F447" s="41">
        <v>1</v>
      </c>
      <c r="G447" s="40" t="s">
        <v>89</v>
      </c>
    </row>
    <row r="448" spans="1:7" x14ac:dyDescent="0.3">
      <c r="A448" s="39">
        <v>459</v>
      </c>
      <c r="B448" s="39">
        <v>459</v>
      </c>
      <c r="C448" s="40" t="s">
        <v>532</v>
      </c>
      <c r="D448" s="40" t="s">
        <v>532</v>
      </c>
      <c r="E448" s="40" t="s">
        <v>88</v>
      </c>
      <c r="F448" s="41">
        <v>1</v>
      </c>
      <c r="G448" s="40" t="s">
        <v>89</v>
      </c>
    </row>
    <row r="449" spans="1:7" x14ac:dyDescent="0.3">
      <c r="A449" s="39">
        <v>460</v>
      </c>
      <c r="B449" s="39">
        <v>460</v>
      </c>
      <c r="C449" s="40" t="s">
        <v>533</v>
      </c>
      <c r="D449" s="40" t="s">
        <v>533</v>
      </c>
      <c r="E449" s="40" t="s">
        <v>88</v>
      </c>
      <c r="F449" s="41">
        <v>1</v>
      </c>
      <c r="G449" s="40" t="s">
        <v>89</v>
      </c>
    </row>
    <row r="450" spans="1:7" x14ac:dyDescent="0.3">
      <c r="A450" s="39">
        <v>461</v>
      </c>
      <c r="B450" s="39">
        <v>461</v>
      </c>
      <c r="C450" s="40" t="s">
        <v>534</v>
      </c>
      <c r="D450" s="40" t="s">
        <v>534</v>
      </c>
      <c r="E450" s="40" t="s">
        <v>88</v>
      </c>
      <c r="F450" s="41">
        <v>1</v>
      </c>
      <c r="G450" s="40" t="s">
        <v>89</v>
      </c>
    </row>
    <row r="451" spans="1:7" x14ac:dyDescent="0.3">
      <c r="A451" s="39">
        <v>462</v>
      </c>
      <c r="B451" s="39">
        <v>462</v>
      </c>
      <c r="C451" s="40" t="s">
        <v>535</v>
      </c>
      <c r="D451" s="40" t="s">
        <v>535</v>
      </c>
      <c r="E451" s="40" t="s">
        <v>88</v>
      </c>
      <c r="F451" s="41">
        <v>1</v>
      </c>
      <c r="G451" s="40" t="s">
        <v>89</v>
      </c>
    </row>
    <row r="452" spans="1:7" x14ac:dyDescent="0.3">
      <c r="A452" s="39">
        <v>463</v>
      </c>
      <c r="B452" s="39">
        <v>463</v>
      </c>
      <c r="C452" s="40" t="s">
        <v>536</v>
      </c>
      <c r="D452" s="40" t="s">
        <v>536</v>
      </c>
      <c r="E452" s="40" t="s">
        <v>88</v>
      </c>
      <c r="F452" s="41">
        <v>1</v>
      </c>
      <c r="G452" s="40" t="s">
        <v>89</v>
      </c>
    </row>
    <row r="453" spans="1:7" x14ac:dyDescent="0.3">
      <c r="A453" s="39">
        <v>464</v>
      </c>
      <c r="B453" s="39">
        <v>464</v>
      </c>
      <c r="C453" s="40" t="s">
        <v>537</v>
      </c>
      <c r="D453" s="40" t="s">
        <v>537</v>
      </c>
      <c r="E453" s="40" t="s">
        <v>88</v>
      </c>
      <c r="F453" s="41">
        <v>1</v>
      </c>
      <c r="G453" s="40" t="s">
        <v>89</v>
      </c>
    </row>
    <row r="454" spans="1:7" x14ac:dyDescent="0.3">
      <c r="A454" s="39">
        <v>465</v>
      </c>
      <c r="B454" s="39">
        <v>465</v>
      </c>
      <c r="C454" s="40" t="s">
        <v>538</v>
      </c>
      <c r="D454" s="40" t="s">
        <v>538</v>
      </c>
      <c r="E454" s="40" t="s">
        <v>88</v>
      </c>
      <c r="F454" s="41">
        <v>1</v>
      </c>
      <c r="G454" s="40" t="s">
        <v>89</v>
      </c>
    </row>
    <row r="455" spans="1:7" x14ac:dyDescent="0.3">
      <c r="A455" s="39">
        <v>466</v>
      </c>
      <c r="B455" s="39">
        <v>466</v>
      </c>
      <c r="C455" s="40" t="s">
        <v>539</v>
      </c>
      <c r="D455" s="40" t="s">
        <v>539</v>
      </c>
      <c r="E455" s="40" t="s">
        <v>88</v>
      </c>
      <c r="F455" s="41">
        <v>1</v>
      </c>
      <c r="G455" s="40" t="s">
        <v>89</v>
      </c>
    </row>
    <row r="456" spans="1:7" x14ac:dyDescent="0.3">
      <c r="A456" s="39">
        <v>467</v>
      </c>
      <c r="B456" s="39">
        <v>467</v>
      </c>
      <c r="C456" s="40" t="s">
        <v>540</v>
      </c>
      <c r="D456" s="40" t="s">
        <v>540</v>
      </c>
      <c r="E456" s="40" t="s">
        <v>88</v>
      </c>
      <c r="F456" s="41">
        <v>1</v>
      </c>
      <c r="G456" s="40" t="s">
        <v>89</v>
      </c>
    </row>
    <row r="457" spans="1:7" x14ac:dyDescent="0.3">
      <c r="A457" s="39">
        <v>468</v>
      </c>
      <c r="B457" s="39">
        <v>468</v>
      </c>
      <c r="C457" s="40" t="s">
        <v>541</v>
      </c>
      <c r="D457" s="40" t="s">
        <v>541</v>
      </c>
      <c r="E457" s="40" t="s">
        <v>88</v>
      </c>
      <c r="F457" s="41">
        <v>1</v>
      </c>
      <c r="G457" s="40" t="s">
        <v>89</v>
      </c>
    </row>
    <row r="458" spans="1:7" x14ac:dyDescent="0.3">
      <c r="A458" s="39">
        <v>469</v>
      </c>
      <c r="B458" s="39">
        <v>469</v>
      </c>
      <c r="C458" s="40" t="s">
        <v>542</v>
      </c>
      <c r="D458" s="40" t="s">
        <v>542</v>
      </c>
      <c r="E458" s="40" t="s">
        <v>88</v>
      </c>
      <c r="F458" s="41">
        <v>1</v>
      </c>
      <c r="G458" s="40" t="s">
        <v>89</v>
      </c>
    </row>
    <row r="459" spans="1:7" x14ac:dyDescent="0.3">
      <c r="A459" s="39">
        <v>470</v>
      </c>
      <c r="B459" s="39">
        <v>470</v>
      </c>
      <c r="C459" s="40" t="s">
        <v>543</v>
      </c>
      <c r="D459" s="40" t="s">
        <v>543</v>
      </c>
      <c r="E459" s="40" t="s">
        <v>88</v>
      </c>
      <c r="F459" s="41">
        <v>1</v>
      </c>
      <c r="G459" s="40" t="s">
        <v>89</v>
      </c>
    </row>
    <row r="460" spans="1:7" x14ac:dyDescent="0.3">
      <c r="A460" s="39">
        <v>471</v>
      </c>
      <c r="B460" s="39">
        <v>471</v>
      </c>
      <c r="C460" s="40" t="s">
        <v>544</v>
      </c>
      <c r="D460" s="40" t="s">
        <v>544</v>
      </c>
      <c r="E460" s="40" t="s">
        <v>88</v>
      </c>
      <c r="F460" s="41">
        <v>1</v>
      </c>
      <c r="G460" s="40" t="s">
        <v>89</v>
      </c>
    </row>
    <row r="461" spans="1:7" x14ac:dyDescent="0.3">
      <c r="A461" s="39">
        <v>472</v>
      </c>
      <c r="B461" s="39">
        <v>472</v>
      </c>
      <c r="C461" s="40" t="s">
        <v>545</v>
      </c>
      <c r="D461" s="40" t="s">
        <v>545</v>
      </c>
      <c r="E461" s="40" t="s">
        <v>88</v>
      </c>
      <c r="F461" s="41">
        <v>1</v>
      </c>
      <c r="G461" s="40" t="s">
        <v>89</v>
      </c>
    </row>
    <row r="462" spans="1:7" x14ac:dyDescent="0.3">
      <c r="A462" s="39">
        <v>473</v>
      </c>
      <c r="B462" s="39">
        <v>473</v>
      </c>
      <c r="C462" s="40" t="s">
        <v>546</v>
      </c>
      <c r="D462" s="40" t="s">
        <v>546</v>
      </c>
      <c r="E462" s="40" t="s">
        <v>88</v>
      </c>
      <c r="F462" s="41">
        <v>1</v>
      </c>
      <c r="G462" s="40" t="s">
        <v>89</v>
      </c>
    </row>
    <row r="463" spans="1:7" x14ac:dyDescent="0.3">
      <c r="A463" s="39">
        <v>474</v>
      </c>
      <c r="B463" s="39">
        <v>474</v>
      </c>
      <c r="C463" s="40" t="s">
        <v>547</v>
      </c>
      <c r="D463" s="40" t="s">
        <v>547</v>
      </c>
      <c r="E463" s="40" t="s">
        <v>88</v>
      </c>
      <c r="F463" s="41">
        <v>1</v>
      </c>
      <c r="G463" s="40" t="s">
        <v>89</v>
      </c>
    </row>
    <row r="464" spans="1:7" x14ac:dyDescent="0.3">
      <c r="A464" s="39">
        <v>475</v>
      </c>
      <c r="B464" s="39">
        <v>475</v>
      </c>
      <c r="C464" s="40" t="s">
        <v>548</v>
      </c>
      <c r="D464" s="40" t="s">
        <v>548</v>
      </c>
      <c r="E464" s="40" t="s">
        <v>88</v>
      </c>
      <c r="F464" s="41">
        <v>1</v>
      </c>
      <c r="G464" s="40" t="s">
        <v>89</v>
      </c>
    </row>
    <row r="465" spans="1:7" x14ac:dyDescent="0.3">
      <c r="A465" s="39">
        <v>476</v>
      </c>
      <c r="B465" s="39">
        <v>476</v>
      </c>
      <c r="C465" s="40" t="s">
        <v>549</v>
      </c>
      <c r="D465" s="40" t="s">
        <v>549</v>
      </c>
      <c r="E465" s="40" t="s">
        <v>88</v>
      </c>
      <c r="F465" s="41">
        <v>1</v>
      </c>
      <c r="G465" s="40" t="s">
        <v>89</v>
      </c>
    </row>
    <row r="466" spans="1:7" x14ac:dyDescent="0.3">
      <c r="A466" s="39">
        <v>477</v>
      </c>
      <c r="B466" s="39">
        <v>477</v>
      </c>
      <c r="C466" s="40" t="s">
        <v>550</v>
      </c>
      <c r="D466" s="40" t="s">
        <v>550</v>
      </c>
      <c r="E466" s="40" t="s">
        <v>88</v>
      </c>
      <c r="F466" s="41">
        <v>1</v>
      </c>
      <c r="G466" s="40" t="s">
        <v>89</v>
      </c>
    </row>
    <row r="467" spans="1:7" x14ac:dyDescent="0.3">
      <c r="A467" s="39">
        <v>478</v>
      </c>
      <c r="B467" s="39">
        <v>478</v>
      </c>
      <c r="C467" s="40" t="s">
        <v>551</v>
      </c>
      <c r="D467" s="40" t="s">
        <v>551</v>
      </c>
      <c r="E467" s="40" t="s">
        <v>88</v>
      </c>
      <c r="F467" s="41">
        <v>1</v>
      </c>
      <c r="G467" s="40" t="s">
        <v>89</v>
      </c>
    </row>
    <row r="468" spans="1:7" x14ac:dyDescent="0.3">
      <c r="A468" s="39">
        <v>479</v>
      </c>
      <c r="B468" s="39">
        <v>479</v>
      </c>
      <c r="C468" s="40" t="s">
        <v>552</v>
      </c>
      <c r="D468" s="40" t="s">
        <v>552</v>
      </c>
      <c r="E468" s="40" t="s">
        <v>88</v>
      </c>
      <c r="F468" s="41">
        <v>1</v>
      </c>
      <c r="G468" s="40" t="s">
        <v>89</v>
      </c>
    </row>
    <row r="469" spans="1:7" x14ac:dyDescent="0.3">
      <c r="A469" s="39">
        <v>480</v>
      </c>
      <c r="B469" s="39">
        <v>480</v>
      </c>
      <c r="C469" s="40" t="s">
        <v>553</v>
      </c>
      <c r="D469" s="40" t="s">
        <v>553</v>
      </c>
      <c r="E469" s="40" t="s">
        <v>88</v>
      </c>
      <c r="F469" s="41">
        <v>1</v>
      </c>
      <c r="G469" s="40" t="s">
        <v>89</v>
      </c>
    </row>
    <row r="470" spans="1:7" x14ac:dyDescent="0.3">
      <c r="A470" s="39">
        <v>963</v>
      </c>
      <c r="B470" s="39">
        <v>963</v>
      </c>
      <c r="C470" s="40" t="s">
        <v>554</v>
      </c>
      <c r="D470" s="40" t="s">
        <v>554</v>
      </c>
      <c r="E470" s="40" t="s">
        <v>88</v>
      </c>
      <c r="F470" s="41">
        <v>1</v>
      </c>
      <c r="G470" s="40" t="s">
        <v>89</v>
      </c>
    </row>
    <row r="471" spans="1:7" x14ac:dyDescent="0.3">
      <c r="A471" s="39">
        <v>483</v>
      </c>
      <c r="B471" s="39">
        <v>483</v>
      </c>
      <c r="C471" s="40" t="s">
        <v>555</v>
      </c>
      <c r="D471" s="40" t="s">
        <v>555</v>
      </c>
      <c r="E471" s="40" t="s">
        <v>88</v>
      </c>
      <c r="F471" s="41">
        <v>1</v>
      </c>
      <c r="G471" s="40" t="s">
        <v>89</v>
      </c>
    </row>
    <row r="472" spans="1:7" x14ac:dyDescent="0.3">
      <c r="A472" s="39">
        <v>484</v>
      </c>
      <c r="B472" s="39">
        <v>484</v>
      </c>
      <c r="C472" s="40" t="s">
        <v>556</v>
      </c>
      <c r="D472" s="40" t="s">
        <v>556</v>
      </c>
      <c r="E472" s="40" t="s">
        <v>88</v>
      </c>
      <c r="F472" s="41">
        <v>1</v>
      </c>
      <c r="G472" s="40" t="s">
        <v>89</v>
      </c>
    </row>
    <row r="473" spans="1:7" x14ac:dyDescent="0.3">
      <c r="A473" s="39">
        <v>485</v>
      </c>
      <c r="B473" s="39">
        <v>485</v>
      </c>
      <c r="C473" s="40" t="s">
        <v>557</v>
      </c>
      <c r="D473" s="40" t="s">
        <v>557</v>
      </c>
      <c r="E473" s="40" t="s">
        <v>88</v>
      </c>
      <c r="F473" s="41">
        <v>1</v>
      </c>
      <c r="G473" s="40" t="s">
        <v>89</v>
      </c>
    </row>
    <row r="474" spans="1:7" x14ac:dyDescent="0.3">
      <c r="A474" s="39">
        <v>486</v>
      </c>
      <c r="B474" s="39">
        <v>486</v>
      </c>
      <c r="C474" s="40" t="s">
        <v>558</v>
      </c>
      <c r="D474" s="40" t="s">
        <v>558</v>
      </c>
      <c r="E474" s="40" t="s">
        <v>88</v>
      </c>
      <c r="F474" s="41">
        <v>1</v>
      </c>
      <c r="G474" s="40" t="s">
        <v>89</v>
      </c>
    </row>
    <row r="475" spans="1:7" x14ac:dyDescent="0.3">
      <c r="A475" s="39">
        <v>487</v>
      </c>
      <c r="B475" s="39">
        <v>487</v>
      </c>
      <c r="C475" s="40" t="s">
        <v>559</v>
      </c>
      <c r="D475" s="40" t="s">
        <v>559</v>
      </c>
      <c r="E475" s="40" t="s">
        <v>88</v>
      </c>
      <c r="F475" s="41">
        <v>1</v>
      </c>
      <c r="G475" s="40" t="s">
        <v>89</v>
      </c>
    </row>
    <row r="476" spans="1:7" x14ac:dyDescent="0.3">
      <c r="A476" s="39">
        <v>488</v>
      </c>
      <c r="B476" s="39">
        <v>488</v>
      </c>
      <c r="C476" s="40" t="s">
        <v>560</v>
      </c>
      <c r="D476" s="40" t="s">
        <v>560</v>
      </c>
      <c r="E476" s="40" t="s">
        <v>88</v>
      </c>
      <c r="F476" s="41">
        <v>1</v>
      </c>
      <c r="G476" s="40" t="s">
        <v>89</v>
      </c>
    </row>
    <row r="477" spans="1:7" x14ac:dyDescent="0.3">
      <c r="A477" s="39">
        <v>979</v>
      </c>
      <c r="B477" s="39">
        <v>979</v>
      </c>
      <c r="C477" s="40" t="s">
        <v>561</v>
      </c>
      <c r="D477" s="40" t="s">
        <v>561</v>
      </c>
      <c r="E477" s="40" t="s">
        <v>88</v>
      </c>
      <c r="F477" s="41">
        <v>1</v>
      </c>
      <c r="G477" s="40" t="s">
        <v>89</v>
      </c>
    </row>
    <row r="478" spans="1:7" x14ac:dyDescent="0.3">
      <c r="A478" s="39">
        <v>491</v>
      </c>
      <c r="B478" s="39">
        <v>491</v>
      </c>
      <c r="C478" s="40" t="s">
        <v>562</v>
      </c>
      <c r="D478" s="40" t="s">
        <v>562</v>
      </c>
      <c r="E478" s="40" t="s">
        <v>88</v>
      </c>
      <c r="F478" s="41">
        <v>1</v>
      </c>
      <c r="G478" s="40" t="s">
        <v>89</v>
      </c>
    </row>
    <row r="479" spans="1:7" x14ac:dyDescent="0.3">
      <c r="A479" s="39">
        <v>492</v>
      </c>
      <c r="B479" s="39">
        <v>492</v>
      </c>
      <c r="C479" s="40" t="s">
        <v>563</v>
      </c>
      <c r="D479" s="40" t="s">
        <v>563</v>
      </c>
      <c r="E479" s="40" t="s">
        <v>88</v>
      </c>
      <c r="F479" s="41">
        <v>1</v>
      </c>
      <c r="G479" s="40" t="s">
        <v>89</v>
      </c>
    </row>
    <row r="480" spans="1:7" x14ac:dyDescent="0.3">
      <c r="A480" s="39">
        <v>987</v>
      </c>
      <c r="B480" s="39">
        <v>987</v>
      </c>
      <c r="C480" s="40" t="s">
        <v>564</v>
      </c>
      <c r="D480" s="40" t="s">
        <v>564</v>
      </c>
      <c r="E480" s="40" t="s">
        <v>88</v>
      </c>
      <c r="F480" s="41">
        <v>1</v>
      </c>
      <c r="G480" s="40" t="s">
        <v>89</v>
      </c>
    </row>
    <row r="481" spans="1:7" x14ac:dyDescent="0.3">
      <c r="A481" s="39">
        <v>495</v>
      </c>
      <c r="B481" s="39">
        <v>495</v>
      </c>
      <c r="C481" s="40" t="s">
        <v>565</v>
      </c>
      <c r="D481" s="40" t="s">
        <v>565</v>
      </c>
      <c r="E481" s="40" t="s">
        <v>88</v>
      </c>
      <c r="F481" s="41">
        <v>1</v>
      </c>
      <c r="G481" s="40" t="s">
        <v>89</v>
      </c>
    </row>
    <row r="482" spans="1:7" x14ac:dyDescent="0.3">
      <c r="A482" s="39">
        <v>1491</v>
      </c>
      <c r="B482" s="39">
        <v>1491</v>
      </c>
      <c r="C482" s="40" t="s">
        <v>566</v>
      </c>
      <c r="D482" s="40" t="s">
        <v>566</v>
      </c>
      <c r="E482" s="40" t="s">
        <v>88</v>
      </c>
      <c r="F482" s="41">
        <v>1</v>
      </c>
      <c r="G482" s="40" t="s">
        <v>89</v>
      </c>
    </row>
    <row r="483" spans="1:7" x14ac:dyDescent="0.3">
      <c r="A483" s="39">
        <v>499</v>
      </c>
      <c r="B483" s="39">
        <v>499</v>
      </c>
      <c r="C483" s="40" t="s">
        <v>567</v>
      </c>
      <c r="D483" s="40" t="s">
        <v>567</v>
      </c>
      <c r="E483" s="40" t="s">
        <v>88</v>
      </c>
      <c r="F483" s="41">
        <v>1</v>
      </c>
      <c r="G483" s="40" t="s">
        <v>89</v>
      </c>
    </row>
    <row r="484" spans="1:7" x14ac:dyDescent="0.3">
      <c r="A484" s="39">
        <v>500</v>
      </c>
      <c r="B484" s="39">
        <v>500</v>
      </c>
      <c r="C484" s="40" t="s">
        <v>568</v>
      </c>
      <c r="D484" s="40" t="s">
        <v>568</v>
      </c>
      <c r="E484" s="40" t="s">
        <v>88</v>
      </c>
      <c r="F484" s="41">
        <v>1</v>
      </c>
      <c r="G484" s="40" t="s">
        <v>89</v>
      </c>
    </row>
    <row r="485" spans="1:7" x14ac:dyDescent="0.3">
      <c r="A485" s="39">
        <v>501</v>
      </c>
      <c r="B485" s="39">
        <v>501</v>
      </c>
      <c r="C485" s="40" t="s">
        <v>569</v>
      </c>
      <c r="D485" s="40" t="s">
        <v>569</v>
      </c>
      <c r="E485" s="40" t="s">
        <v>88</v>
      </c>
      <c r="F485" s="41">
        <v>1</v>
      </c>
      <c r="G485" s="40" t="s">
        <v>89</v>
      </c>
    </row>
    <row r="486" spans="1:7" x14ac:dyDescent="0.3">
      <c r="A486" s="39">
        <v>502</v>
      </c>
      <c r="B486" s="39">
        <v>502</v>
      </c>
      <c r="C486" s="40" t="s">
        <v>570</v>
      </c>
      <c r="D486" s="40" t="s">
        <v>570</v>
      </c>
      <c r="E486" s="40" t="s">
        <v>88</v>
      </c>
      <c r="F486" s="41">
        <v>1</v>
      </c>
      <c r="G486" s="40" t="s">
        <v>89</v>
      </c>
    </row>
    <row r="487" spans="1:7" x14ac:dyDescent="0.3">
      <c r="A487" s="39">
        <v>503</v>
      </c>
      <c r="B487" s="39">
        <v>503</v>
      </c>
      <c r="C487" s="40" t="s">
        <v>571</v>
      </c>
      <c r="D487" s="40" t="s">
        <v>571</v>
      </c>
      <c r="E487" s="40" t="s">
        <v>88</v>
      </c>
      <c r="F487" s="41">
        <v>1</v>
      </c>
      <c r="G487" s="40" t="s">
        <v>89</v>
      </c>
    </row>
    <row r="488" spans="1:7" x14ac:dyDescent="0.3">
      <c r="A488" s="39">
        <v>504</v>
      </c>
      <c r="B488" s="39">
        <v>504</v>
      </c>
      <c r="C488" s="40" t="s">
        <v>572</v>
      </c>
      <c r="D488" s="40" t="s">
        <v>572</v>
      </c>
      <c r="E488" s="40" t="s">
        <v>88</v>
      </c>
      <c r="F488" s="41">
        <v>1</v>
      </c>
      <c r="G488" s="40" t="s">
        <v>89</v>
      </c>
    </row>
    <row r="489" spans="1:7" x14ac:dyDescent="0.3">
      <c r="A489" s="39">
        <v>505</v>
      </c>
      <c r="B489" s="39">
        <v>505</v>
      </c>
      <c r="C489" s="40" t="s">
        <v>573</v>
      </c>
      <c r="D489" s="40" t="s">
        <v>573</v>
      </c>
      <c r="E489" s="40" t="s">
        <v>88</v>
      </c>
      <c r="F489" s="41">
        <v>1</v>
      </c>
      <c r="G489" s="40" t="s">
        <v>89</v>
      </c>
    </row>
    <row r="490" spans="1:7" x14ac:dyDescent="0.3">
      <c r="A490" s="39">
        <v>506</v>
      </c>
      <c r="B490" s="39">
        <v>506</v>
      </c>
      <c r="C490" s="40" t="s">
        <v>574</v>
      </c>
      <c r="D490" s="40" t="s">
        <v>574</v>
      </c>
      <c r="E490" s="40" t="s">
        <v>88</v>
      </c>
      <c r="F490" s="41">
        <v>1</v>
      </c>
      <c r="G490" s="40" t="s">
        <v>89</v>
      </c>
    </row>
    <row r="491" spans="1:7" x14ac:dyDescent="0.3">
      <c r="A491" s="39">
        <v>507</v>
      </c>
      <c r="B491" s="39">
        <v>507</v>
      </c>
      <c r="C491" s="40" t="s">
        <v>575</v>
      </c>
      <c r="D491" s="40" t="s">
        <v>575</v>
      </c>
      <c r="E491" s="40" t="s">
        <v>88</v>
      </c>
      <c r="F491" s="41">
        <v>1</v>
      </c>
      <c r="G491" s="40" t="s">
        <v>89</v>
      </c>
    </row>
    <row r="492" spans="1:7" x14ac:dyDescent="0.3">
      <c r="A492" s="39">
        <v>508</v>
      </c>
      <c r="B492" s="39">
        <v>508</v>
      </c>
      <c r="C492" s="40" t="s">
        <v>576</v>
      </c>
      <c r="D492" s="40" t="s">
        <v>576</v>
      </c>
      <c r="E492" s="40" t="s">
        <v>88</v>
      </c>
      <c r="F492" s="41">
        <v>1</v>
      </c>
      <c r="G492" s="40" t="s">
        <v>89</v>
      </c>
    </row>
    <row r="493" spans="1:7" x14ac:dyDescent="0.3">
      <c r="A493" s="39">
        <v>509</v>
      </c>
      <c r="B493" s="39">
        <v>509</v>
      </c>
      <c r="C493" s="40" t="s">
        <v>577</v>
      </c>
      <c r="D493" s="40" t="s">
        <v>577</v>
      </c>
      <c r="E493" s="40" t="s">
        <v>88</v>
      </c>
      <c r="F493" s="41">
        <v>1</v>
      </c>
      <c r="G493" s="40" t="s">
        <v>89</v>
      </c>
    </row>
    <row r="494" spans="1:7" x14ac:dyDescent="0.3">
      <c r="A494" s="39">
        <v>510</v>
      </c>
      <c r="B494" s="39">
        <v>510</v>
      </c>
      <c r="C494" s="40" t="s">
        <v>578</v>
      </c>
      <c r="D494" s="40" t="s">
        <v>578</v>
      </c>
      <c r="E494" s="40" t="s">
        <v>88</v>
      </c>
      <c r="F494" s="41">
        <v>1</v>
      </c>
      <c r="G494" s="40" t="s">
        <v>89</v>
      </c>
    </row>
    <row r="495" spans="1:7" x14ac:dyDescent="0.3">
      <c r="A495" s="39">
        <v>511</v>
      </c>
      <c r="B495" s="39">
        <v>511</v>
      </c>
      <c r="C495" s="40" t="s">
        <v>579</v>
      </c>
      <c r="D495" s="40" t="s">
        <v>579</v>
      </c>
      <c r="E495" s="40" t="s">
        <v>88</v>
      </c>
      <c r="F495" s="41">
        <v>1</v>
      </c>
      <c r="G495" s="40" t="s">
        <v>89</v>
      </c>
    </row>
    <row r="496" spans="1:7" x14ac:dyDescent="0.3">
      <c r="A496" s="39">
        <v>512</v>
      </c>
      <c r="B496" s="39">
        <v>512</v>
      </c>
      <c r="C496" s="40" t="s">
        <v>580</v>
      </c>
      <c r="D496" s="40" t="s">
        <v>580</v>
      </c>
      <c r="E496" s="40" t="s">
        <v>88</v>
      </c>
      <c r="F496" s="41">
        <v>1</v>
      </c>
      <c r="G496" s="40" t="s">
        <v>89</v>
      </c>
    </row>
    <row r="497" spans="1:7" x14ac:dyDescent="0.3">
      <c r="A497" s="39">
        <v>513</v>
      </c>
      <c r="B497" s="39">
        <v>513</v>
      </c>
      <c r="C497" s="40" t="s">
        <v>581</v>
      </c>
      <c r="D497" s="40" t="s">
        <v>581</v>
      </c>
      <c r="E497" s="40" t="s">
        <v>88</v>
      </c>
      <c r="F497" s="41">
        <v>1</v>
      </c>
      <c r="G497" s="40" t="s">
        <v>89</v>
      </c>
    </row>
    <row r="498" spans="1:7" x14ac:dyDescent="0.3">
      <c r="A498" s="39">
        <v>514</v>
      </c>
      <c r="B498" s="39">
        <v>514</v>
      </c>
      <c r="C498" s="40" t="s">
        <v>582</v>
      </c>
      <c r="D498" s="40" t="s">
        <v>582</v>
      </c>
      <c r="E498" s="40" t="s">
        <v>88</v>
      </c>
      <c r="F498" s="41">
        <v>1</v>
      </c>
      <c r="G498" s="40" t="s">
        <v>89</v>
      </c>
    </row>
    <row r="499" spans="1:7" x14ac:dyDescent="0.3">
      <c r="A499" s="39">
        <v>515</v>
      </c>
      <c r="B499" s="39">
        <v>515</v>
      </c>
      <c r="C499" s="40" t="s">
        <v>583</v>
      </c>
      <c r="D499" s="40" t="s">
        <v>583</v>
      </c>
      <c r="E499" s="40" t="s">
        <v>88</v>
      </c>
      <c r="F499" s="41">
        <v>1</v>
      </c>
      <c r="G499" s="40" t="s">
        <v>89</v>
      </c>
    </row>
    <row r="500" spans="1:7" x14ac:dyDescent="0.3">
      <c r="A500" s="39">
        <v>516</v>
      </c>
      <c r="B500" s="39">
        <v>516</v>
      </c>
      <c r="C500" s="40" t="s">
        <v>584</v>
      </c>
      <c r="D500" s="40" t="s">
        <v>584</v>
      </c>
      <c r="E500" s="40" t="s">
        <v>88</v>
      </c>
      <c r="F500" s="41">
        <v>1</v>
      </c>
      <c r="G500" s="40" t="s">
        <v>89</v>
      </c>
    </row>
    <row r="501" spans="1:7" x14ac:dyDescent="0.3">
      <c r="A501" s="39">
        <v>517</v>
      </c>
      <c r="B501" s="39">
        <v>517</v>
      </c>
      <c r="C501" s="40" t="s">
        <v>585</v>
      </c>
      <c r="D501" s="40" t="s">
        <v>585</v>
      </c>
      <c r="E501" s="40" t="s">
        <v>88</v>
      </c>
      <c r="F501" s="41">
        <v>1</v>
      </c>
      <c r="G501" s="40" t="s">
        <v>89</v>
      </c>
    </row>
    <row r="502" spans="1:7" x14ac:dyDescent="0.3">
      <c r="A502" s="39">
        <v>518</v>
      </c>
      <c r="B502" s="39">
        <v>518</v>
      </c>
      <c r="C502" s="40" t="s">
        <v>586</v>
      </c>
      <c r="D502" s="40" t="s">
        <v>586</v>
      </c>
      <c r="E502" s="40" t="s">
        <v>88</v>
      </c>
      <c r="F502" s="41">
        <v>1</v>
      </c>
      <c r="G502" s="40" t="s">
        <v>89</v>
      </c>
    </row>
    <row r="503" spans="1:7" x14ac:dyDescent="0.3">
      <c r="A503" s="39">
        <v>519</v>
      </c>
      <c r="B503" s="39">
        <v>519</v>
      </c>
      <c r="C503" s="40" t="s">
        <v>587</v>
      </c>
      <c r="D503" s="40" t="s">
        <v>587</v>
      </c>
      <c r="E503" s="40" t="s">
        <v>88</v>
      </c>
      <c r="F503" s="41">
        <v>1</v>
      </c>
      <c r="G503" s="40" t="s">
        <v>89</v>
      </c>
    </row>
    <row r="504" spans="1:7" x14ac:dyDescent="0.3">
      <c r="A504" s="39">
        <v>520</v>
      </c>
      <c r="B504" s="39">
        <v>520</v>
      </c>
      <c r="C504" s="40" t="s">
        <v>588</v>
      </c>
      <c r="D504" s="40" t="s">
        <v>588</v>
      </c>
      <c r="E504" s="40" t="s">
        <v>88</v>
      </c>
      <c r="F504" s="41">
        <v>1</v>
      </c>
      <c r="G504" s="40" t="s">
        <v>89</v>
      </c>
    </row>
    <row r="505" spans="1:7" x14ac:dyDescent="0.3">
      <c r="A505" s="39">
        <v>521</v>
      </c>
      <c r="B505" s="39">
        <v>521</v>
      </c>
      <c r="C505" s="40" t="s">
        <v>589</v>
      </c>
      <c r="D505" s="40" t="s">
        <v>589</v>
      </c>
      <c r="E505" s="40" t="s">
        <v>88</v>
      </c>
      <c r="F505" s="41">
        <v>1</v>
      </c>
      <c r="G505" s="40" t="s">
        <v>89</v>
      </c>
    </row>
    <row r="506" spans="1:7" x14ac:dyDescent="0.3">
      <c r="A506" s="39">
        <v>522</v>
      </c>
      <c r="B506" s="39">
        <v>522</v>
      </c>
      <c r="C506" s="40" t="s">
        <v>590</v>
      </c>
      <c r="D506" s="40" t="s">
        <v>590</v>
      </c>
      <c r="E506" s="40" t="s">
        <v>88</v>
      </c>
      <c r="F506" s="41">
        <v>1</v>
      </c>
      <c r="G506" s="40" t="s">
        <v>89</v>
      </c>
    </row>
    <row r="507" spans="1:7" x14ac:dyDescent="0.3">
      <c r="A507" s="39">
        <v>523</v>
      </c>
      <c r="B507" s="39">
        <v>523</v>
      </c>
      <c r="C507" s="40" t="s">
        <v>591</v>
      </c>
      <c r="D507" s="40" t="s">
        <v>591</v>
      </c>
      <c r="E507" s="40" t="s">
        <v>88</v>
      </c>
      <c r="F507" s="41">
        <v>1</v>
      </c>
      <c r="G507" s="40" t="s">
        <v>89</v>
      </c>
    </row>
    <row r="508" spans="1:7" x14ac:dyDescent="0.3">
      <c r="A508" s="39">
        <v>1069</v>
      </c>
      <c r="B508" s="39">
        <v>1069</v>
      </c>
      <c r="C508" s="40" t="s">
        <v>592</v>
      </c>
      <c r="D508" s="40" t="s">
        <v>592</v>
      </c>
      <c r="E508" s="40" t="s">
        <v>88</v>
      </c>
      <c r="F508" s="41">
        <v>1</v>
      </c>
      <c r="G508" s="40" t="s">
        <v>89</v>
      </c>
    </row>
    <row r="509" spans="1:7" x14ac:dyDescent="0.3">
      <c r="A509" s="39">
        <v>525</v>
      </c>
      <c r="B509" s="39">
        <v>525</v>
      </c>
      <c r="C509" s="40" t="s">
        <v>593</v>
      </c>
      <c r="D509" s="40" t="s">
        <v>593</v>
      </c>
      <c r="E509" s="40" t="s">
        <v>88</v>
      </c>
      <c r="F509" s="41">
        <v>1</v>
      </c>
      <c r="G509" s="40" t="s">
        <v>89</v>
      </c>
    </row>
    <row r="510" spans="1:7" x14ac:dyDescent="0.3">
      <c r="A510" s="39">
        <v>526</v>
      </c>
      <c r="B510" s="39">
        <v>526</v>
      </c>
      <c r="C510" s="40" t="s">
        <v>594</v>
      </c>
      <c r="D510" s="40" t="s">
        <v>594</v>
      </c>
      <c r="E510" s="40" t="s">
        <v>88</v>
      </c>
      <c r="F510" s="41">
        <v>1</v>
      </c>
      <c r="G510" s="40" t="s">
        <v>89</v>
      </c>
    </row>
    <row r="511" spans="1:7" x14ac:dyDescent="0.3">
      <c r="A511" s="39">
        <v>1073</v>
      </c>
      <c r="B511" s="39">
        <v>1073</v>
      </c>
      <c r="C511" s="40" t="s">
        <v>595</v>
      </c>
      <c r="D511" s="40" t="s">
        <v>595</v>
      </c>
      <c r="E511" s="40" t="s">
        <v>88</v>
      </c>
      <c r="F511" s="41">
        <v>1</v>
      </c>
      <c r="G511" s="40" t="s">
        <v>89</v>
      </c>
    </row>
    <row r="512" spans="1:7" x14ac:dyDescent="0.3">
      <c r="A512" s="39">
        <v>528</v>
      </c>
      <c r="B512" s="39">
        <v>528</v>
      </c>
      <c r="C512" s="40" t="s">
        <v>596</v>
      </c>
      <c r="D512" s="40" t="s">
        <v>596</v>
      </c>
      <c r="E512" s="40" t="s">
        <v>88</v>
      </c>
      <c r="F512" s="41">
        <v>1</v>
      </c>
      <c r="G512" s="40" t="s">
        <v>89</v>
      </c>
    </row>
    <row r="513" spans="1:7" x14ac:dyDescent="0.3">
      <c r="A513" s="39">
        <v>529</v>
      </c>
      <c r="B513" s="39">
        <v>529</v>
      </c>
      <c r="C513" s="40" t="s">
        <v>597</v>
      </c>
      <c r="D513" s="40" t="s">
        <v>597</v>
      </c>
      <c r="E513" s="40" t="s">
        <v>88</v>
      </c>
      <c r="F513" s="41">
        <v>1</v>
      </c>
      <c r="G513" s="40" t="s">
        <v>89</v>
      </c>
    </row>
    <row r="514" spans="1:7" x14ac:dyDescent="0.3">
      <c r="A514" s="39">
        <v>530</v>
      </c>
      <c r="B514" s="39">
        <v>530</v>
      </c>
      <c r="C514" s="40" t="s">
        <v>598</v>
      </c>
      <c r="D514" s="40" t="s">
        <v>598</v>
      </c>
      <c r="E514" s="40" t="s">
        <v>88</v>
      </c>
      <c r="F514" s="41">
        <v>1</v>
      </c>
      <c r="G514" s="40" t="s">
        <v>89</v>
      </c>
    </row>
    <row r="515" spans="1:7" x14ac:dyDescent="0.3">
      <c r="A515" s="39">
        <v>531</v>
      </c>
      <c r="B515" s="39">
        <v>531</v>
      </c>
      <c r="C515" s="40" t="s">
        <v>599</v>
      </c>
      <c r="D515" s="40" t="s">
        <v>599</v>
      </c>
      <c r="E515" s="40" t="s">
        <v>88</v>
      </c>
      <c r="F515" s="41">
        <v>1</v>
      </c>
      <c r="G515" s="40" t="s">
        <v>89</v>
      </c>
    </row>
    <row r="516" spans="1:7" x14ac:dyDescent="0.3">
      <c r="A516" s="39">
        <v>532</v>
      </c>
      <c r="B516" s="39">
        <v>532</v>
      </c>
      <c r="C516" s="40" t="s">
        <v>600</v>
      </c>
      <c r="D516" s="40" t="s">
        <v>600</v>
      </c>
      <c r="E516" s="40" t="s">
        <v>88</v>
      </c>
      <c r="F516" s="41">
        <v>1</v>
      </c>
      <c r="G516" s="40" t="s">
        <v>89</v>
      </c>
    </row>
    <row r="517" spans="1:7" x14ac:dyDescent="0.3">
      <c r="A517" s="39">
        <v>533</v>
      </c>
      <c r="B517" s="39">
        <v>533</v>
      </c>
      <c r="C517" s="40" t="s">
        <v>601</v>
      </c>
      <c r="D517" s="40" t="s">
        <v>601</v>
      </c>
      <c r="E517" s="40" t="s">
        <v>88</v>
      </c>
      <c r="F517" s="41">
        <v>1</v>
      </c>
      <c r="G517" s="40" t="s">
        <v>89</v>
      </c>
    </row>
    <row r="518" spans="1:7" x14ac:dyDescent="0.3">
      <c r="A518" s="39">
        <v>534</v>
      </c>
      <c r="B518" s="39">
        <v>534</v>
      </c>
      <c r="C518" s="40" t="s">
        <v>602</v>
      </c>
      <c r="D518" s="40" t="s">
        <v>602</v>
      </c>
      <c r="E518" s="40" t="s">
        <v>88</v>
      </c>
      <c r="F518" s="41">
        <v>1</v>
      </c>
      <c r="G518" s="40" t="s">
        <v>89</v>
      </c>
    </row>
    <row r="519" spans="1:7" x14ac:dyDescent="0.3">
      <c r="A519" s="39">
        <v>535</v>
      </c>
      <c r="B519" s="39">
        <v>535</v>
      </c>
      <c r="C519" s="40" t="s">
        <v>603</v>
      </c>
      <c r="D519" s="40" t="s">
        <v>603</v>
      </c>
      <c r="E519" s="40" t="s">
        <v>88</v>
      </c>
      <c r="F519" s="41">
        <v>1</v>
      </c>
      <c r="G519" s="40" t="s">
        <v>89</v>
      </c>
    </row>
    <row r="520" spans="1:7" x14ac:dyDescent="0.3">
      <c r="A520" s="39">
        <v>536</v>
      </c>
      <c r="B520" s="39">
        <v>536</v>
      </c>
      <c r="C520" s="40" t="s">
        <v>604</v>
      </c>
      <c r="D520" s="40" t="s">
        <v>604</v>
      </c>
      <c r="E520" s="40" t="s">
        <v>88</v>
      </c>
      <c r="F520" s="41">
        <v>1</v>
      </c>
      <c r="G520" s="40" t="s">
        <v>89</v>
      </c>
    </row>
    <row r="521" spans="1:7" x14ac:dyDescent="0.3">
      <c r="A521" s="39">
        <v>538</v>
      </c>
      <c r="B521" s="39">
        <v>538</v>
      </c>
      <c r="C521" s="40" t="s">
        <v>605</v>
      </c>
      <c r="D521" s="40" t="s">
        <v>605</v>
      </c>
      <c r="E521" s="40" t="s">
        <v>88</v>
      </c>
      <c r="F521" s="41">
        <v>1</v>
      </c>
      <c r="G521" s="40" t="s">
        <v>89</v>
      </c>
    </row>
    <row r="522" spans="1:7" x14ac:dyDescent="0.3">
      <c r="A522" s="39">
        <v>551</v>
      </c>
      <c r="B522" s="39">
        <v>551</v>
      </c>
      <c r="C522" s="40" t="s">
        <v>606</v>
      </c>
      <c r="D522" s="40" t="s">
        <v>606</v>
      </c>
      <c r="E522" s="40" t="s">
        <v>88</v>
      </c>
      <c r="F522" s="41">
        <v>1</v>
      </c>
      <c r="G522" s="40" t="s">
        <v>89</v>
      </c>
    </row>
    <row r="523" spans="1:7" x14ac:dyDescent="0.3">
      <c r="A523" s="39">
        <v>552</v>
      </c>
      <c r="B523" s="39">
        <v>552</v>
      </c>
      <c r="C523" s="40" t="s">
        <v>607</v>
      </c>
      <c r="D523" s="40" t="s">
        <v>607</v>
      </c>
      <c r="E523" s="40" t="s">
        <v>88</v>
      </c>
      <c r="F523" s="41">
        <v>1</v>
      </c>
      <c r="G523" s="40" t="s">
        <v>89</v>
      </c>
    </row>
    <row r="524" spans="1:7" x14ac:dyDescent="0.3">
      <c r="A524" s="39">
        <v>1107</v>
      </c>
      <c r="B524" s="39">
        <v>1107</v>
      </c>
      <c r="C524" s="40" t="s">
        <v>608</v>
      </c>
      <c r="D524" s="40" t="s">
        <v>608</v>
      </c>
      <c r="E524" s="40" t="s">
        <v>88</v>
      </c>
      <c r="F524" s="41">
        <v>1</v>
      </c>
      <c r="G524" s="40" t="s">
        <v>89</v>
      </c>
    </row>
    <row r="525" spans="1:7" x14ac:dyDescent="0.3">
      <c r="A525" s="39">
        <v>555</v>
      </c>
      <c r="B525" s="39">
        <v>555</v>
      </c>
      <c r="C525" s="40" t="s">
        <v>609</v>
      </c>
      <c r="D525" s="40" t="s">
        <v>609</v>
      </c>
      <c r="E525" s="40" t="s">
        <v>88</v>
      </c>
      <c r="F525" s="41">
        <v>1</v>
      </c>
      <c r="G525" s="40" t="s">
        <v>89</v>
      </c>
    </row>
    <row r="526" spans="1:7" x14ac:dyDescent="0.3">
      <c r="A526" s="39">
        <v>556</v>
      </c>
      <c r="B526" s="39">
        <v>556</v>
      </c>
      <c r="C526" s="40" t="s">
        <v>610</v>
      </c>
      <c r="D526" s="40" t="s">
        <v>610</v>
      </c>
      <c r="E526" s="40" t="s">
        <v>88</v>
      </c>
      <c r="F526" s="41">
        <v>1</v>
      </c>
      <c r="G526" s="40" t="s">
        <v>89</v>
      </c>
    </row>
    <row r="527" spans="1:7" x14ac:dyDescent="0.3">
      <c r="A527" s="39">
        <v>557</v>
      </c>
      <c r="B527" s="39">
        <v>557</v>
      </c>
      <c r="C527" s="40" t="s">
        <v>611</v>
      </c>
      <c r="D527" s="40" t="s">
        <v>611</v>
      </c>
      <c r="E527" s="40" t="s">
        <v>88</v>
      </c>
      <c r="F527" s="41">
        <v>1</v>
      </c>
      <c r="G527" s="40" t="s">
        <v>89</v>
      </c>
    </row>
    <row r="528" spans="1:7" x14ac:dyDescent="0.3">
      <c r="A528" s="39">
        <v>558</v>
      </c>
      <c r="B528" s="39">
        <v>558</v>
      </c>
      <c r="C528" s="40" t="s">
        <v>612</v>
      </c>
      <c r="D528" s="40" t="s">
        <v>612</v>
      </c>
      <c r="E528" s="40" t="s">
        <v>88</v>
      </c>
      <c r="F528" s="41">
        <v>1</v>
      </c>
      <c r="G528" s="40" t="s">
        <v>89</v>
      </c>
    </row>
    <row r="529" spans="1:7" x14ac:dyDescent="0.3">
      <c r="A529" s="39">
        <v>559</v>
      </c>
      <c r="B529" s="39">
        <v>559</v>
      </c>
      <c r="C529" s="40" t="s">
        <v>613</v>
      </c>
      <c r="D529" s="40" t="s">
        <v>613</v>
      </c>
      <c r="E529" s="40" t="s">
        <v>88</v>
      </c>
      <c r="F529" s="41">
        <v>1</v>
      </c>
      <c r="G529" s="40" t="s">
        <v>89</v>
      </c>
    </row>
    <row r="530" spans="1:7" x14ac:dyDescent="0.3">
      <c r="A530" s="39">
        <v>1121</v>
      </c>
      <c r="B530" s="39">
        <v>1121</v>
      </c>
      <c r="C530" s="40" t="s">
        <v>614</v>
      </c>
      <c r="D530" s="40" t="s">
        <v>614</v>
      </c>
      <c r="E530" s="40" t="s">
        <v>88</v>
      </c>
      <c r="F530" s="41">
        <v>1</v>
      </c>
      <c r="G530" s="40" t="s">
        <v>89</v>
      </c>
    </row>
    <row r="531" spans="1:7" x14ac:dyDescent="0.3">
      <c r="A531" s="39">
        <v>562</v>
      </c>
      <c r="B531" s="39">
        <v>562</v>
      </c>
      <c r="C531" s="40" t="s">
        <v>615</v>
      </c>
      <c r="D531" s="40" t="s">
        <v>615</v>
      </c>
      <c r="E531" s="40" t="s">
        <v>88</v>
      </c>
      <c r="F531" s="41">
        <v>1</v>
      </c>
      <c r="G531" s="40" t="s">
        <v>89</v>
      </c>
    </row>
    <row r="532" spans="1:7" x14ac:dyDescent="0.3">
      <c r="A532" s="39">
        <v>1127</v>
      </c>
      <c r="B532" s="39">
        <v>1127</v>
      </c>
      <c r="C532" s="40" t="s">
        <v>616</v>
      </c>
      <c r="D532" s="40" t="s">
        <v>616</v>
      </c>
      <c r="E532" s="40" t="s">
        <v>88</v>
      </c>
      <c r="F532" s="41">
        <v>1</v>
      </c>
      <c r="G532" s="40" t="s">
        <v>89</v>
      </c>
    </row>
    <row r="533" spans="1:7" x14ac:dyDescent="0.3">
      <c r="A533" s="39">
        <v>1131</v>
      </c>
      <c r="B533" s="39">
        <v>1131</v>
      </c>
      <c r="C533" s="40" t="s">
        <v>617</v>
      </c>
      <c r="D533" s="40" t="s">
        <v>617</v>
      </c>
      <c r="E533" s="40" t="s">
        <v>88</v>
      </c>
      <c r="F533" s="41">
        <v>1</v>
      </c>
      <c r="G533" s="40" t="s">
        <v>89</v>
      </c>
    </row>
    <row r="534" spans="1:7" x14ac:dyDescent="0.3">
      <c r="A534" s="39">
        <v>567</v>
      </c>
      <c r="B534" s="39">
        <v>567</v>
      </c>
      <c r="C534" s="40" t="s">
        <v>618</v>
      </c>
      <c r="D534" s="40" t="s">
        <v>618</v>
      </c>
      <c r="E534" s="40" t="s">
        <v>88</v>
      </c>
      <c r="F534" s="41">
        <v>1</v>
      </c>
      <c r="G534" s="40" t="s">
        <v>89</v>
      </c>
    </row>
    <row r="535" spans="1:7" x14ac:dyDescent="0.3">
      <c r="A535" s="39">
        <v>1137</v>
      </c>
      <c r="B535" s="39">
        <v>1137</v>
      </c>
      <c r="C535" s="40" t="s">
        <v>619</v>
      </c>
      <c r="D535" s="40" t="s">
        <v>619</v>
      </c>
      <c r="E535" s="40" t="s">
        <v>88</v>
      </c>
      <c r="F535" s="41">
        <v>1</v>
      </c>
      <c r="G535" s="40" t="s">
        <v>89</v>
      </c>
    </row>
    <row r="536" spans="1:7" x14ac:dyDescent="0.3">
      <c r="A536" s="39">
        <v>570</v>
      </c>
      <c r="B536" s="39">
        <v>570</v>
      </c>
      <c r="C536" s="40" t="s">
        <v>620</v>
      </c>
      <c r="D536" s="40" t="s">
        <v>620</v>
      </c>
      <c r="E536" s="40" t="s">
        <v>88</v>
      </c>
      <c r="F536" s="41">
        <v>1</v>
      </c>
      <c r="G536" s="40" t="s">
        <v>89</v>
      </c>
    </row>
    <row r="537" spans="1:7" x14ac:dyDescent="0.3">
      <c r="A537" s="39">
        <v>571</v>
      </c>
      <c r="B537" s="39">
        <v>571</v>
      </c>
      <c r="C537" s="40" t="s">
        <v>621</v>
      </c>
      <c r="D537" s="40" t="s">
        <v>621</v>
      </c>
      <c r="E537" s="40" t="s">
        <v>88</v>
      </c>
      <c r="F537" s="41">
        <v>1</v>
      </c>
      <c r="G537" s="40" t="s">
        <v>89</v>
      </c>
    </row>
    <row r="538" spans="1:7" x14ac:dyDescent="0.3">
      <c r="A538" s="39">
        <v>1145</v>
      </c>
      <c r="B538" s="39">
        <v>1145</v>
      </c>
      <c r="C538" s="40" t="s">
        <v>622</v>
      </c>
      <c r="D538" s="40" t="s">
        <v>622</v>
      </c>
      <c r="E538" s="40" t="s">
        <v>88</v>
      </c>
      <c r="F538" s="41">
        <v>1</v>
      </c>
      <c r="G538" s="40" t="s">
        <v>89</v>
      </c>
    </row>
    <row r="539" spans="1:7" x14ac:dyDescent="0.3">
      <c r="A539" s="39">
        <v>574</v>
      </c>
      <c r="B539" s="39">
        <v>574</v>
      </c>
      <c r="C539" s="40" t="s">
        <v>623</v>
      </c>
      <c r="D539" s="40" t="s">
        <v>623</v>
      </c>
      <c r="E539" s="40" t="s">
        <v>88</v>
      </c>
      <c r="F539" s="41">
        <v>1</v>
      </c>
      <c r="G539" s="40" t="s">
        <v>89</v>
      </c>
    </row>
    <row r="540" spans="1:7" x14ac:dyDescent="0.3">
      <c r="A540" s="39">
        <v>575</v>
      </c>
      <c r="B540" s="39">
        <v>575</v>
      </c>
      <c r="C540" s="40" t="s">
        <v>624</v>
      </c>
      <c r="D540" s="40" t="s">
        <v>624</v>
      </c>
      <c r="E540" s="40" t="s">
        <v>88</v>
      </c>
      <c r="F540" s="41">
        <v>1</v>
      </c>
      <c r="G540" s="40" t="s">
        <v>89</v>
      </c>
    </row>
    <row r="541" spans="1:7" x14ac:dyDescent="0.3">
      <c r="A541" s="39">
        <v>1153</v>
      </c>
      <c r="B541" s="39">
        <v>1153</v>
      </c>
      <c r="C541" s="40" t="s">
        <v>625</v>
      </c>
      <c r="D541" s="40" t="s">
        <v>625</v>
      </c>
      <c r="E541" s="40" t="s">
        <v>88</v>
      </c>
      <c r="F541" s="41">
        <v>1</v>
      </c>
      <c r="G541" s="40" t="s">
        <v>89</v>
      </c>
    </row>
    <row r="542" spans="1:7" x14ac:dyDescent="0.3">
      <c r="A542" s="39">
        <v>1157</v>
      </c>
      <c r="B542" s="39">
        <v>1157</v>
      </c>
      <c r="C542" s="40" t="s">
        <v>626</v>
      </c>
      <c r="D542" s="40" t="s">
        <v>626</v>
      </c>
      <c r="E542" s="40" t="s">
        <v>88</v>
      </c>
      <c r="F542" s="41">
        <v>1</v>
      </c>
      <c r="G542" s="40" t="s">
        <v>89</v>
      </c>
    </row>
    <row r="543" spans="1:7" x14ac:dyDescent="0.3">
      <c r="A543" s="39">
        <v>580</v>
      </c>
      <c r="B543" s="39">
        <v>580</v>
      </c>
      <c r="C543" s="40" t="s">
        <v>627</v>
      </c>
      <c r="D543" s="40" t="s">
        <v>627</v>
      </c>
      <c r="E543" s="40" t="s">
        <v>88</v>
      </c>
      <c r="F543" s="41">
        <v>1</v>
      </c>
      <c r="G543" s="40" t="s">
        <v>89</v>
      </c>
    </row>
    <row r="544" spans="1:7" x14ac:dyDescent="0.3">
      <c r="A544" s="39">
        <v>1163</v>
      </c>
      <c r="B544" s="39">
        <v>1163</v>
      </c>
      <c r="C544" s="40" t="s">
        <v>628</v>
      </c>
      <c r="D544" s="40" t="s">
        <v>628</v>
      </c>
      <c r="E544" s="40" t="s">
        <v>88</v>
      </c>
      <c r="F544" s="41">
        <v>1</v>
      </c>
      <c r="G544" s="40" t="s">
        <v>89</v>
      </c>
    </row>
    <row r="545" spans="1:7" x14ac:dyDescent="0.3">
      <c r="A545" s="39">
        <v>1167</v>
      </c>
      <c r="B545" s="39">
        <v>1167</v>
      </c>
      <c r="C545" s="40" t="s">
        <v>629</v>
      </c>
      <c r="D545" s="40" t="s">
        <v>629</v>
      </c>
      <c r="E545" s="40" t="s">
        <v>88</v>
      </c>
      <c r="F545" s="41">
        <v>1</v>
      </c>
      <c r="G545" s="40" t="s">
        <v>89</v>
      </c>
    </row>
    <row r="546" spans="1:7" x14ac:dyDescent="0.3">
      <c r="A546" s="39">
        <v>585</v>
      </c>
      <c r="B546" s="39">
        <v>585</v>
      </c>
      <c r="C546" s="40" t="s">
        <v>630</v>
      </c>
      <c r="D546" s="40" t="s">
        <v>630</v>
      </c>
      <c r="E546" s="40" t="s">
        <v>88</v>
      </c>
      <c r="F546" s="41">
        <v>1</v>
      </c>
      <c r="G546" s="40" t="s">
        <v>89</v>
      </c>
    </row>
  </sheetData>
  <mergeCells count="2">
    <mergeCell ref="A1:G1"/>
    <mergeCell ref="A2:G2"/>
  </mergeCells>
  <pageMargins left="0.4" right="0.4" top="0.5" bottom="0.5" header="0.511811023622047" footer="0.511811023622047"/>
  <pageSetup fitToHeight="0" orientation="landscape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6192E"/>
    <pageSetUpPr fitToPage="1"/>
  </sheetPr>
  <dimension ref="A1:S14"/>
  <sheetViews>
    <sheetView showGridLines="0" zoomScaleNormal="100" workbookViewId="0">
      <pane ySplit="4" topLeftCell="A5" activePane="bottomLeft" state="frozen"/>
      <selection pane="bottomLeft" activeCell="A4" sqref="A4"/>
    </sheetView>
  </sheetViews>
  <sheetFormatPr defaultColWidth="8.6640625" defaultRowHeight="14.4" x14ac:dyDescent="0.3"/>
  <cols>
    <col min="1" max="1" width="10.33203125" bestFit="1" customWidth="1"/>
    <col min="2" max="2" width="10.44140625" bestFit="1" customWidth="1"/>
    <col min="3" max="4" width="15.109375" bestFit="1" customWidth="1"/>
    <col min="5" max="5" width="12.6640625" bestFit="1" customWidth="1"/>
    <col min="6" max="6" width="12.88671875" bestFit="1" customWidth="1"/>
    <col min="7" max="7" width="15.88671875" bestFit="1" customWidth="1"/>
    <col min="8" max="8" width="18.5546875" bestFit="1" customWidth="1"/>
    <col min="9" max="9" width="13.33203125" bestFit="1" customWidth="1"/>
    <col min="10" max="10" width="13.88671875" bestFit="1" customWidth="1"/>
    <col min="11" max="11" width="11.88671875" bestFit="1" customWidth="1"/>
    <col min="12" max="12" width="13.21875" bestFit="1" customWidth="1"/>
    <col min="13" max="13" width="13" customWidth="1"/>
    <col min="14" max="14" width="9.109375" bestFit="1" customWidth="1"/>
    <col min="15" max="15" width="14.109375" bestFit="1" customWidth="1"/>
    <col min="16" max="16" width="13.21875" bestFit="1" customWidth="1"/>
    <col min="17" max="17" width="13.44140625" bestFit="1" customWidth="1"/>
    <col min="18" max="18" width="11.109375" bestFit="1" customWidth="1"/>
    <col min="19" max="19" width="14.5546875" bestFit="1" customWidth="1"/>
  </cols>
  <sheetData>
    <row r="1" spans="1:19" ht="19.5" customHeight="1" x14ac:dyDescent="0.3">
      <c r="A1" s="51" t="s">
        <v>631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</row>
    <row r="2" spans="1:19" ht="15.75" customHeight="1" x14ac:dyDescent="0.3">
      <c r="A2" s="52" t="s">
        <v>632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</row>
    <row r="4" spans="1:19" ht="27.75" customHeight="1" x14ac:dyDescent="0.3">
      <c r="A4" s="15" t="s">
        <v>633</v>
      </c>
      <c r="B4" s="15" t="s">
        <v>634</v>
      </c>
      <c r="C4" s="15" t="s">
        <v>635</v>
      </c>
      <c r="D4" s="15" t="s">
        <v>636</v>
      </c>
      <c r="E4" s="15" t="s">
        <v>637</v>
      </c>
      <c r="F4" s="15" t="s">
        <v>638</v>
      </c>
      <c r="G4" s="15" t="s">
        <v>639</v>
      </c>
      <c r="H4" s="15" t="s">
        <v>640</v>
      </c>
      <c r="I4" s="15" t="s">
        <v>641</v>
      </c>
      <c r="J4" s="15" t="s">
        <v>642</v>
      </c>
      <c r="K4" s="15" t="s">
        <v>643</v>
      </c>
      <c r="L4" s="15" t="s">
        <v>644</v>
      </c>
      <c r="M4" s="15" t="s">
        <v>645</v>
      </c>
      <c r="N4" s="15" t="s">
        <v>646</v>
      </c>
      <c r="O4" s="15" t="s">
        <v>647</v>
      </c>
      <c r="P4" s="15" t="s">
        <v>648</v>
      </c>
      <c r="Q4" s="15" t="s">
        <v>649</v>
      </c>
      <c r="R4" s="15" t="s">
        <v>650</v>
      </c>
      <c r="S4" s="15" t="s">
        <v>81</v>
      </c>
    </row>
    <row r="5" spans="1:19" x14ac:dyDescent="0.3">
      <c r="A5" s="31" t="s">
        <v>651</v>
      </c>
      <c r="B5" s="31" t="s">
        <v>652</v>
      </c>
      <c r="C5" s="31" t="s">
        <v>653</v>
      </c>
      <c r="D5" s="31" t="s">
        <v>654</v>
      </c>
      <c r="E5" s="32">
        <v>72</v>
      </c>
      <c r="F5" s="32">
        <v>5</v>
      </c>
      <c r="G5" s="32">
        <v>0</v>
      </c>
      <c r="H5" s="42">
        <v>0</v>
      </c>
      <c r="I5" s="42">
        <v>0</v>
      </c>
      <c r="J5" s="42">
        <v>0</v>
      </c>
      <c r="K5" s="32">
        <v>0</v>
      </c>
      <c r="L5" s="42">
        <v>0</v>
      </c>
      <c r="M5" s="32">
        <v>0</v>
      </c>
      <c r="N5" s="32">
        <v>0</v>
      </c>
      <c r="O5" s="42">
        <v>0</v>
      </c>
      <c r="P5" s="32">
        <v>0</v>
      </c>
      <c r="Q5" s="32">
        <v>0</v>
      </c>
      <c r="R5" s="42">
        <v>0</v>
      </c>
      <c r="S5" s="34">
        <v>586</v>
      </c>
    </row>
    <row r="6" spans="1:19" x14ac:dyDescent="0.3">
      <c r="A6" s="31" t="s">
        <v>655</v>
      </c>
      <c r="B6" s="31" t="s">
        <v>652</v>
      </c>
      <c r="C6" s="31" t="s">
        <v>656</v>
      </c>
      <c r="D6" s="31" t="s">
        <v>657</v>
      </c>
      <c r="E6" s="32">
        <v>72</v>
      </c>
      <c r="F6" s="32">
        <v>5</v>
      </c>
      <c r="G6" s="32">
        <v>0</v>
      </c>
      <c r="H6" s="42">
        <v>0</v>
      </c>
      <c r="I6" s="42">
        <v>0</v>
      </c>
      <c r="J6" s="42">
        <v>0</v>
      </c>
      <c r="K6" s="32">
        <v>0</v>
      </c>
      <c r="L6" s="42">
        <v>0</v>
      </c>
      <c r="M6" s="32">
        <v>0</v>
      </c>
      <c r="N6" s="32">
        <v>0</v>
      </c>
      <c r="O6" s="42">
        <v>0</v>
      </c>
      <c r="P6" s="32">
        <v>0</v>
      </c>
      <c r="Q6" s="32">
        <v>0</v>
      </c>
      <c r="R6" s="42">
        <v>0</v>
      </c>
      <c r="S6" s="34">
        <v>587</v>
      </c>
    </row>
    <row r="7" spans="1:19" x14ac:dyDescent="0.3">
      <c r="A7" s="31" t="s">
        <v>658</v>
      </c>
      <c r="B7" s="31" t="s">
        <v>652</v>
      </c>
      <c r="C7" s="31" t="s">
        <v>659</v>
      </c>
      <c r="D7" s="31" t="s">
        <v>660</v>
      </c>
      <c r="E7" s="32">
        <v>72</v>
      </c>
      <c r="F7" s="32">
        <v>5</v>
      </c>
      <c r="G7" s="32">
        <v>0</v>
      </c>
      <c r="H7" s="42">
        <v>0</v>
      </c>
      <c r="I7" s="42">
        <v>0</v>
      </c>
      <c r="J7" s="42">
        <v>0</v>
      </c>
      <c r="K7" s="32">
        <v>0</v>
      </c>
      <c r="L7" s="42">
        <v>0</v>
      </c>
      <c r="M7" s="32">
        <v>0</v>
      </c>
      <c r="N7" s="32">
        <v>0</v>
      </c>
      <c r="O7" s="42">
        <v>0</v>
      </c>
      <c r="P7" s="32">
        <v>0</v>
      </c>
      <c r="Q7" s="32">
        <v>0</v>
      </c>
      <c r="R7" s="42">
        <v>0</v>
      </c>
      <c r="S7" s="34">
        <v>588</v>
      </c>
    </row>
    <row r="8" spans="1:19" x14ac:dyDescent="0.3">
      <c r="A8" s="31" t="s">
        <v>661</v>
      </c>
      <c r="B8" s="31" t="s">
        <v>652</v>
      </c>
      <c r="C8" s="31" t="s">
        <v>662</v>
      </c>
      <c r="D8" s="31" t="s">
        <v>663</v>
      </c>
      <c r="E8" s="32">
        <v>72</v>
      </c>
      <c r="F8" s="32">
        <v>5</v>
      </c>
      <c r="G8" s="32">
        <v>0</v>
      </c>
      <c r="H8" s="42">
        <v>0</v>
      </c>
      <c r="I8" s="42">
        <v>0</v>
      </c>
      <c r="J8" s="42">
        <v>0</v>
      </c>
      <c r="K8" s="32">
        <v>0</v>
      </c>
      <c r="L8" s="42">
        <v>0</v>
      </c>
      <c r="M8" s="32">
        <v>0</v>
      </c>
      <c r="N8" s="32">
        <v>0</v>
      </c>
      <c r="O8" s="42">
        <v>0</v>
      </c>
      <c r="P8" s="32">
        <v>0</v>
      </c>
      <c r="Q8" s="32">
        <v>0</v>
      </c>
      <c r="R8" s="42">
        <v>0</v>
      </c>
      <c r="S8" s="34">
        <v>589</v>
      </c>
    </row>
    <row r="9" spans="1:19" x14ac:dyDescent="0.3">
      <c r="A9" s="31" t="s">
        <v>664</v>
      </c>
      <c r="B9" s="31" t="s">
        <v>652</v>
      </c>
      <c r="C9" s="31" t="s">
        <v>665</v>
      </c>
      <c r="D9" s="31" t="s">
        <v>72</v>
      </c>
      <c r="E9" s="32">
        <v>72</v>
      </c>
      <c r="F9" s="32">
        <v>5</v>
      </c>
      <c r="G9" s="32">
        <v>0</v>
      </c>
      <c r="H9" s="42">
        <v>0</v>
      </c>
      <c r="I9" s="42">
        <v>0</v>
      </c>
      <c r="J9" s="42">
        <v>0</v>
      </c>
      <c r="K9" s="32">
        <v>0</v>
      </c>
      <c r="L9" s="42">
        <v>0</v>
      </c>
      <c r="M9" s="32">
        <v>0</v>
      </c>
      <c r="N9" s="32">
        <v>0</v>
      </c>
      <c r="O9" s="42">
        <v>0</v>
      </c>
      <c r="P9" s="32">
        <v>0</v>
      </c>
      <c r="Q9" s="32">
        <v>0</v>
      </c>
      <c r="R9" s="42">
        <v>0</v>
      </c>
      <c r="S9" s="34">
        <v>590</v>
      </c>
    </row>
    <row r="10" spans="1:19" x14ac:dyDescent="0.3">
      <c r="A10" s="31" t="s">
        <v>666</v>
      </c>
      <c r="B10" s="31" t="s">
        <v>652</v>
      </c>
      <c r="C10" s="31" t="s">
        <v>667</v>
      </c>
      <c r="D10" s="31" t="s">
        <v>668</v>
      </c>
      <c r="E10" s="32">
        <v>72</v>
      </c>
      <c r="F10" s="32">
        <v>5</v>
      </c>
      <c r="G10" s="32">
        <v>0</v>
      </c>
      <c r="H10" s="42">
        <v>0</v>
      </c>
      <c r="I10" s="42">
        <v>0</v>
      </c>
      <c r="J10" s="42">
        <v>0</v>
      </c>
      <c r="K10" s="32">
        <v>0</v>
      </c>
      <c r="L10" s="42">
        <v>0</v>
      </c>
      <c r="M10" s="32">
        <v>0</v>
      </c>
      <c r="N10" s="32">
        <v>0</v>
      </c>
      <c r="O10" s="42">
        <v>0</v>
      </c>
      <c r="P10" s="32">
        <v>0</v>
      </c>
      <c r="Q10" s="32">
        <v>0</v>
      </c>
      <c r="R10" s="42">
        <v>0</v>
      </c>
      <c r="S10" s="34">
        <v>591</v>
      </c>
    </row>
    <row r="11" spans="1:19" x14ac:dyDescent="0.3">
      <c r="A11" s="31" t="s">
        <v>669</v>
      </c>
      <c r="B11" s="31" t="s">
        <v>652</v>
      </c>
      <c r="C11" s="31" t="s">
        <v>670</v>
      </c>
      <c r="D11" s="31" t="s">
        <v>657</v>
      </c>
      <c r="E11" s="32">
        <v>72</v>
      </c>
      <c r="F11" s="32">
        <v>5</v>
      </c>
      <c r="G11" s="32">
        <v>0</v>
      </c>
      <c r="H11" s="42">
        <v>0</v>
      </c>
      <c r="I11" s="42">
        <v>0</v>
      </c>
      <c r="J11" s="42">
        <v>0</v>
      </c>
      <c r="K11" s="32">
        <v>0</v>
      </c>
      <c r="L11" s="42">
        <v>0</v>
      </c>
      <c r="M11" s="32">
        <v>0</v>
      </c>
      <c r="N11" s="32">
        <v>0</v>
      </c>
      <c r="O11" s="42">
        <v>0</v>
      </c>
      <c r="P11" s="32">
        <v>0</v>
      </c>
      <c r="Q11" s="32">
        <v>0</v>
      </c>
      <c r="R11" s="42">
        <v>0</v>
      </c>
      <c r="S11" s="34">
        <v>592</v>
      </c>
    </row>
    <row r="12" spans="1:19" x14ac:dyDescent="0.3">
      <c r="A12" s="31" t="s">
        <v>671</v>
      </c>
      <c r="B12" s="31" t="s">
        <v>652</v>
      </c>
      <c r="C12" s="31" t="s">
        <v>672</v>
      </c>
      <c r="D12" s="31" t="s">
        <v>673</v>
      </c>
      <c r="E12" s="32">
        <v>72</v>
      </c>
      <c r="F12" s="32">
        <v>5</v>
      </c>
      <c r="G12" s="32">
        <v>0</v>
      </c>
      <c r="H12" s="42">
        <v>0</v>
      </c>
      <c r="I12" s="42">
        <v>0</v>
      </c>
      <c r="J12" s="42">
        <v>0</v>
      </c>
      <c r="K12" s="32">
        <v>0</v>
      </c>
      <c r="L12" s="42">
        <v>0</v>
      </c>
      <c r="M12" s="32">
        <v>0</v>
      </c>
      <c r="N12" s="32">
        <v>0</v>
      </c>
      <c r="O12" s="42">
        <v>0</v>
      </c>
      <c r="P12" s="32">
        <v>0</v>
      </c>
      <c r="Q12" s="32">
        <v>0</v>
      </c>
      <c r="R12" s="42">
        <v>0</v>
      </c>
      <c r="S12" s="34">
        <v>593</v>
      </c>
    </row>
    <row r="13" spans="1:19" x14ac:dyDescent="0.3">
      <c r="A13" s="31" t="s">
        <v>674</v>
      </c>
      <c r="B13" s="31" t="s">
        <v>652</v>
      </c>
      <c r="C13" s="31" t="s">
        <v>675</v>
      </c>
      <c r="D13" s="31" t="s">
        <v>61</v>
      </c>
      <c r="E13" s="32">
        <v>72</v>
      </c>
      <c r="F13" s="32">
        <v>5</v>
      </c>
      <c r="G13" s="32">
        <v>0</v>
      </c>
      <c r="H13" s="42">
        <v>0</v>
      </c>
      <c r="I13" s="42">
        <v>0</v>
      </c>
      <c r="J13" s="42">
        <v>0</v>
      </c>
      <c r="K13" s="32">
        <v>0</v>
      </c>
      <c r="L13" s="42">
        <v>0</v>
      </c>
      <c r="M13" s="32">
        <v>0</v>
      </c>
      <c r="N13" s="32">
        <v>0</v>
      </c>
      <c r="O13" s="42">
        <v>0</v>
      </c>
      <c r="P13" s="32">
        <v>0</v>
      </c>
      <c r="Q13" s="32">
        <v>0</v>
      </c>
      <c r="R13" s="42">
        <v>0</v>
      </c>
      <c r="S13" s="34">
        <v>594</v>
      </c>
    </row>
    <row r="14" spans="1:19" x14ac:dyDescent="0.3">
      <c r="A14" s="31" t="s">
        <v>676</v>
      </c>
      <c r="B14" s="31" t="s">
        <v>652</v>
      </c>
      <c r="C14" s="31" t="s">
        <v>677</v>
      </c>
      <c r="D14" s="31" t="s">
        <v>678</v>
      </c>
      <c r="E14" s="32">
        <v>72</v>
      </c>
      <c r="F14" s="32">
        <v>5</v>
      </c>
      <c r="G14" s="32">
        <v>0</v>
      </c>
      <c r="H14" s="42">
        <v>0</v>
      </c>
      <c r="I14" s="42">
        <v>0</v>
      </c>
      <c r="J14" s="42">
        <v>0</v>
      </c>
      <c r="K14" s="32">
        <v>0</v>
      </c>
      <c r="L14" s="42">
        <v>0</v>
      </c>
      <c r="M14" s="32">
        <v>0</v>
      </c>
      <c r="N14" s="32">
        <v>0</v>
      </c>
      <c r="O14" s="42">
        <v>0</v>
      </c>
      <c r="P14" s="32">
        <v>0</v>
      </c>
      <c r="Q14" s="32">
        <v>0</v>
      </c>
      <c r="R14" s="42">
        <v>0</v>
      </c>
      <c r="S14" s="34">
        <v>595</v>
      </c>
    </row>
  </sheetData>
  <mergeCells count="2">
    <mergeCell ref="A1:S1"/>
    <mergeCell ref="A2:S2"/>
  </mergeCells>
  <pageMargins left="0.4" right="0.4" top="0.5" bottom="0.5" header="0.511811023622047" footer="0.511811023622047"/>
  <pageSetup fitToHeight="0" orientation="landscape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6192E"/>
    <pageSetUpPr fitToPage="1"/>
  </sheetPr>
  <dimension ref="A1:S14"/>
  <sheetViews>
    <sheetView showGridLines="0" zoomScaleNormal="100" workbookViewId="0">
      <pane ySplit="4" topLeftCell="A5" activePane="bottomLeft" state="frozen"/>
      <selection pane="bottomLeft" activeCell="A4" sqref="A4"/>
    </sheetView>
  </sheetViews>
  <sheetFormatPr defaultColWidth="8.6640625" defaultRowHeight="14.4" x14ac:dyDescent="0.3"/>
  <cols>
    <col min="1" max="1" width="10.33203125" bestFit="1" customWidth="1"/>
    <col min="2" max="2" width="10.44140625" bestFit="1" customWidth="1"/>
    <col min="3" max="4" width="15.109375" bestFit="1" customWidth="1"/>
    <col min="5" max="5" width="12.6640625" bestFit="1" customWidth="1"/>
    <col min="6" max="6" width="12.88671875" bestFit="1" customWidth="1"/>
    <col min="7" max="7" width="15.88671875" bestFit="1" customWidth="1"/>
    <col min="8" max="8" width="18.5546875" bestFit="1" customWidth="1"/>
    <col min="9" max="9" width="13.33203125" bestFit="1" customWidth="1"/>
    <col min="10" max="10" width="13.88671875" bestFit="1" customWidth="1"/>
    <col min="11" max="11" width="11.88671875" bestFit="1" customWidth="1"/>
    <col min="12" max="12" width="13.21875" bestFit="1" customWidth="1"/>
    <col min="13" max="13" width="13" customWidth="1"/>
    <col min="14" max="14" width="9.109375" bestFit="1" customWidth="1"/>
    <col min="15" max="15" width="14.109375" bestFit="1" customWidth="1"/>
    <col min="16" max="16" width="13.21875" bestFit="1" customWidth="1"/>
    <col min="17" max="17" width="13.44140625" bestFit="1" customWidth="1"/>
    <col min="18" max="18" width="11.109375" bestFit="1" customWidth="1"/>
    <col min="19" max="19" width="15" bestFit="1" customWidth="1"/>
  </cols>
  <sheetData>
    <row r="1" spans="1:19" ht="19.5" customHeight="1" x14ac:dyDescent="0.3">
      <c r="A1" s="51" t="s">
        <v>679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</row>
    <row r="2" spans="1:19" ht="15.75" customHeight="1" x14ac:dyDescent="0.3">
      <c r="A2" s="52" t="s">
        <v>680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</row>
    <row r="4" spans="1:19" ht="27.75" customHeight="1" x14ac:dyDescent="0.3">
      <c r="A4" s="15" t="s">
        <v>633</v>
      </c>
      <c r="B4" s="15" t="s">
        <v>634</v>
      </c>
      <c r="C4" s="15" t="s">
        <v>635</v>
      </c>
      <c r="D4" s="15" t="s">
        <v>636</v>
      </c>
      <c r="E4" s="15" t="s">
        <v>637</v>
      </c>
      <c r="F4" s="15" t="s">
        <v>638</v>
      </c>
      <c r="G4" s="15" t="s">
        <v>639</v>
      </c>
      <c r="H4" s="15" t="s">
        <v>640</v>
      </c>
      <c r="I4" s="15" t="s">
        <v>641</v>
      </c>
      <c r="J4" s="15" t="s">
        <v>642</v>
      </c>
      <c r="K4" s="15" t="s">
        <v>643</v>
      </c>
      <c r="L4" s="15" t="s">
        <v>644</v>
      </c>
      <c r="M4" s="15" t="s">
        <v>645</v>
      </c>
      <c r="N4" s="15" t="s">
        <v>646</v>
      </c>
      <c r="O4" s="15" t="s">
        <v>647</v>
      </c>
      <c r="P4" s="15" t="s">
        <v>648</v>
      </c>
      <c r="Q4" s="15" t="s">
        <v>649</v>
      </c>
      <c r="R4" s="15" t="s">
        <v>650</v>
      </c>
      <c r="S4" s="15" t="s">
        <v>80</v>
      </c>
    </row>
    <row r="5" spans="1:19" x14ac:dyDescent="0.3">
      <c r="A5" s="31" t="s">
        <v>681</v>
      </c>
      <c r="B5" s="31" t="s">
        <v>682</v>
      </c>
      <c r="C5" s="31" t="s">
        <v>683</v>
      </c>
      <c r="D5" s="31" t="s">
        <v>668</v>
      </c>
      <c r="E5" s="32">
        <v>40</v>
      </c>
      <c r="F5" s="32">
        <v>2</v>
      </c>
      <c r="G5" s="32">
        <v>0</v>
      </c>
      <c r="H5" s="42">
        <v>0</v>
      </c>
      <c r="I5" s="42">
        <v>0</v>
      </c>
      <c r="J5" s="42">
        <v>0</v>
      </c>
      <c r="K5" s="32">
        <v>0</v>
      </c>
      <c r="L5" s="42">
        <v>0</v>
      </c>
      <c r="M5" s="32">
        <v>0</v>
      </c>
      <c r="N5" s="32">
        <v>0</v>
      </c>
      <c r="O5" s="42">
        <v>0</v>
      </c>
      <c r="P5" s="32">
        <v>0</v>
      </c>
      <c r="Q5" s="32">
        <v>0</v>
      </c>
      <c r="R5" s="42">
        <v>0</v>
      </c>
      <c r="S5" s="34">
        <v>586</v>
      </c>
    </row>
    <row r="6" spans="1:19" x14ac:dyDescent="0.3">
      <c r="A6" s="31" t="s">
        <v>684</v>
      </c>
      <c r="B6" s="31" t="s">
        <v>682</v>
      </c>
      <c r="C6" s="31" t="s">
        <v>685</v>
      </c>
      <c r="D6" s="31" t="s">
        <v>686</v>
      </c>
      <c r="E6" s="32">
        <v>40</v>
      </c>
      <c r="F6" s="32">
        <v>2</v>
      </c>
      <c r="G6" s="32">
        <v>0</v>
      </c>
      <c r="H6" s="42">
        <v>0</v>
      </c>
      <c r="I6" s="42">
        <v>0</v>
      </c>
      <c r="J6" s="42">
        <v>0</v>
      </c>
      <c r="K6" s="32">
        <v>0</v>
      </c>
      <c r="L6" s="42">
        <v>0</v>
      </c>
      <c r="M6" s="32">
        <v>0</v>
      </c>
      <c r="N6" s="32">
        <v>0</v>
      </c>
      <c r="O6" s="42">
        <v>0</v>
      </c>
      <c r="P6" s="32">
        <v>0</v>
      </c>
      <c r="Q6" s="32">
        <v>0</v>
      </c>
      <c r="R6" s="42">
        <v>0</v>
      </c>
      <c r="S6" s="34">
        <v>587</v>
      </c>
    </row>
    <row r="7" spans="1:19" x14ac:dyDescent="0.3">
      <c r="A7" s="31" t="s">
        <v>687</v>
      </c>
      <c r="B7" s="31" t="s">
        <v>682</v>
      </c>
      <c r="C7" s="31" t="s">
        <v>688</v>
      </c>
      <c r="D7" s="31" t="s">
        <v>689</v>
      </c>
      <c r="E7" s="32">
        <v>40</v>
      </c>
      <c r="F7" s="32">
        <v>2</v>
      </c>
      <c r="G7" s="32">
        <v>0</v>
      </c>
      <c r="H7" s="42">
        <v>0</v>
      </c>
      <c r="I7" s="42">
        <v>0</v>
      </c>
      <c r="J7" s="42">
        <v>0</v>
      </c>
      <c r="K7" s="32">
        <v>0</v>
      </c>
      <c r="L7" s="42">
        <v>0</v>
      </c>
      <c r="M7" s="32">
        <v>0</v>
      </c>
      <c r="N7" s="32">
        <v>0</v>
      </c>
      <c r="O7" s="42">
        <v>0</v>
      </c>
      <c r="P7" s="32">
        <v>0</v>
      </c>
      <c r="Q7" s="32">
        <v>0</v>
      </c>
      <c r="R7" s="42">
        <v>0</v>
      </c>
      <c r="S7" s="34">
        <v>588</v>
      </c>
    </row>
    <row r="8" spans="1:19" x14ac:dyDescent="0.3">
      <c r="A8" s="31" t="s">
        <v>690</v>
      </c>
      <c r="B8" s="31" t="s">
        <v>682</v>
      </c>
      <c r="C8" s="31" t="s">
        <v>691</v>
      </c>
      <c r="D8" s="31" t="s">
        <v>689</v>
      </c>
      <c r="E8" s="32">
        <v>40</v>
      </c>
      <c r="F8" s="32">
        <v>2</v>
      </c>
      <c r="G8" s="32">
        <v>0</v>
      </c>
      <c r="H8" s="42">
        <v>0</v>
      </c>
      <c r="I8" s="42">
        <v>0</v>
      </c>
      <c r="J8" s="42">
        <v>0</v>
      </c>
      <c r="K8" s="32">
        <v>0</v>
      </c>
      <c r="L8" s="42">
        <v>0</v>
      </c>
      <c r="M8" s="32">
        <v>0</v>
      </c>
      <c r="N8" s="32">
        <v>0</v>
      </c>
      <c r="O8" s="42">
        <v>0</v>
      </c>
      <c r="P8" s="32">
        <v>0</v>
      </c>
      <c r="Q8" s="32">
        <v>0</v>
      </c>
      <c r="R8" s="42">
        <v>0</v>
      </c>
      <c r="S8" s="34">
        <v>589</v>
      </c>
    </row>
    <row r="9" spans="1:19" x14ac:dyDescent="0.3">
      <c r="A9" s="31" t="s">
        <v>692</v>
      </c>
      <c r="B9" s="31" t="s">
        <v>682</v>
      </c>
      <c r="C9" s="31" t="s">
        <v>693</v>
      </c>
      <c r="D9" s="31" t="s">
        <v>654</v>
      </c>
      <c r="E9" s="32">
        <v>40</v>
      </c>
      <c r="F9" s="32">
        <v>2</v>
      </c>
      <c r="G9" s="32">
        <v>0</v>
      </c>
      <c r="H9" s="42">
        <v>0</v>
      </c>
      <c r="I9" s="42">
        <v>0</v>
      </c>
      <c r="J9" s="42">
        <v>0</v>
      </c>
      <c r="K9" s="32">
        <v>0</v>
      </c>
      <c r="L9" s="42">
        <v>0</v>
      </c>
      <c r="M9" s="32">
        <v>0</v>
      </c>
      <c r="N9" s="32">
        <v>0</v>
      </c>
      <c r="O9" s="42">
        <v>0</v>
      </c>
      <c r="P9" s="32">
        <v>0</v>
      </c>
      <c r="Q9" s="32">
        <v>0</v>
      </c>
      <c r="R9" s="42">
        <v>0</v>
      </c>
      <c r="S9" s="34">
        <v>590</v>
      </c>
    </row>
    <row r="10" spans="1:19" x14ac:dyDescent="0.3">
      <c r="A10" s="31" t="s">
        <v>694</v>
      </c>
      <c r="B10" s="31" t="s">
        <v>682</v>
      </c>
      <c r="C10" s="31" t="s">
        <v>695</v>
      </c>
      <c r="D10" s="31" t="s">
        <v>689</v>
      </c>
      <c r="E10" s="32">
        <v>40</v>
      </c>
      <c r="F10" s="32">
        <v>2</v>
      </c>
      <c r="G10" s="32">
        <v>0</v>
      </c>
      <c r="H10" s="42">
        <v>0</v>
      </c>
      <c r="I10" s="42">
        <v>0</v>
      </c>
      <c r="J10" s="42">
        <v>0</v>
      </c>
      <c r="K10" s="32">
        <v>0</v>
      </c>
      <c r="L10" s="42">
        <v>0</v>
      </c>
      <c r="M10" s="32">
        <v>0</v>
      </c>
      <c r="N10" s="32">
        <v>0</v>
      </c>
      <c r="O10" s="42">
        <v>0</v>
      </c>
      <c r="P10" s="32">
        <v>0</v>
      </c>
      <c r="Q10" s="32">
        <v>0</v>
      </c>
      <c r="R10" s="42">
        <v>0</v>
      </c>
      <c r="S10" s="34">
        <v>591</v>
      </c>
    </row>
    <row r="11" spans="1:19" x14ac:dyDescent="0.3">
      <c r="A11" s="31" t="s">
        <v>696</v>
      </c>
      <c r="B11" s="31" t="s">
        <v>682</v>
      </c>
      <c r="C11" s="31" t="s">
        <v>697</v>
      </c>
      <c r="D11" s="31" t="s">
        <v>686</v>
      </c>
      <c r="E11" s="32">
        <v>40</v>
      </c>
      <c r="F11" s="32">
        <v>2</v>
      </c>
      <c r="G11" s="32">
        <v>0</v>
      </c>
      <c r="H11" s="42">
        <v>0</v>
      </c>
      <c r="I11" s="42">
        <v>0</v>
      </c>
      <c r="J11" s="42">
        <v>0</v>
      </c>
      <c r="K11" s="32">
        <v>0</v>
      </c>
      <c r="L11" s="42">
        <v>0</v>
      </c>
      <c r="M11" s="32">
        <v>0</v>
      </c>
      <c r="N11" s="32">
        <v>0</v>
      </c>
      <c r="O11" s="42">
        <v>0</v>
      </c>
      <c r="P11" s="32">
        <v>0</v>
      </c>
      <c r="Q11" s="32">
        <v>0</v>
      </c>
      <c r="R11" s="42">
        <v>0</v>
      </c>
      <c r="S11" s="34">
        <v>592</v>
      </c>
    </row>
    <row r="12" spans="1:19" x14ac:dyDescent="0.3">
      <c r="A12" s="31" t="s">
        <v>698</v>
      </c>
      <c r="B12" s="31" t="s">
        <v>682</v>
      </c>
      <c r="C12" s="31" t="s">
        <v>699</v>
      </c>
      <c r="D12" s="31" t="s">
        <v>700</v>
      </c>
      <c r="E12" s="32">
        <v>40</v>
      </c>
      <c r="F12" s="32">
        <v>2</v>
      </c>
      <c r="G12" s="32">
        <v>0</v>
      </c>
      <c r="H12" s="42">
        <v>0</v>
      </c>
      <c r="I12" s="42">
        <v>0</v>
      </c>
      <c r="J12" s="42">
        <v>0</v>
      </c>
      <c r="K12" s="32">
        <v>0</v>
      </c>
      <c r="L12" s="42">
        <v>0</v>
      </c>
      <c r="M12" s="32">
        <v>0</v>
      </c>
      <c r="N12" s="32">
        <v>0</v>
      </c>
      <c r="O12" s="42">
        <v>0</v>
      </c>
      <c r="P12" s="32">
        <v>0</v>
      </c>
      <c r="Q12" s="32">
        <v>0</v>
      </c>
      <c r="R12" s="42">
        <v>0</v>
      </c>
      <c r="S12" s="34">
        <v>593</v>
      </c>
    </row>
    <row r="13" spans="1:19" x14ac:dyDescent="0.3">
      <c r="A13" s="31" t="s">
        <v>701</v>
      </c>
      <c r="B13" s="31" t="s">
        <v>682</v>
      </c>
      <c r="C13" s="31" t="s">
        <v>702</v>
      </c>
      <c r="D13" s="31" t="s">
        <v>657</v>
      </c>
      <c r="E13" s="32">
        <v>40</v>
      </c>
      <c r="F13" s="32">
        <v>2</v>
      </c>
      <c r="G13" s="32">
        <v>0</v>
      </c>
      <c r="H13" s="42">
        <v>0</v>
      </c>
      <c r="I13" s="42">
        <v>0</v>
      </c>
      <c r="J13" s="42">
        <v>0</v>
      </c>
      <c r="K13" s="32">
        <v>0</v>
      </c>
      <c r="L13" s="42">
        <v>0</v>
      </c>
      <c r="M13" s="32">
        <v>0</v>
      </c>
      <c r="N13" s="32">
        <v>0</v>
      </c>
      <c r="O13" s="42">
        <v>0</v>
      </c>
      <c r="P13" s="32">
        <v>0</v>
      </c>
      <c r="Q13" s="32">
        <v>0</v>
      </c>
      <c r="R13" s="42">
        <v>0</v>
      </c>
      <c r="S13" s="34">
        <v>594</v>
      </c>
    </row>
    <row r="14" spans="1:19" x14ac:dyDescent="0.3">
      <c r="A14" s="31" t="s">
        <v>703</v>
      </c>
      <c r="B14" s="31" t="s">
        <v>682</v>
      </c>
      <c r="C14" s="31" t="s">
        <v>662</v>
      </c>
      <c r="D14" s="31" t="s">
        <v>72</v>
      </c>
      <c r="E14" s="32">
        <v>40</v>
      </c>
      <c r="F14" s="32">
        <v>2</v>
      </c>
      <c r="G14" s="32">
        <v>0</v>
      </c>
      <c r="H14" s="42">
        <v>0</v>
      </c>
      <c r="I14" s="42">
        <v>0</v>
      </c>
      <c r="J14" s="42">
        <v>0</v>
      </c>
      <c r="K14" s="32">
        <v>0</v>
      </c>
      <c r="L14" s="42">
        <v>0</v>
      </c>
      <c r="M14" s="32">
        <v>0</v>
      </c>
      <c r="N14" s="32">
        <v>0</v>
      </c>
      <c r="O14" s="42">
        <v>0</v>
      </c>
      <c r="P14" s="32">
        <v>0</v>
      </c>
      <c r="Q14" s="32">
        <v>0</v>
      </c>
      <c r="R14" s="42">
        <v>0</v>
      </c>
      <c r="S14" s="34">
        <v>595</v>
      </c>
    </row>
  </sheetData>
  <mergeCells count="2">
    <mergeCell ref="A1:S1"/>
    <mergeCell ref="A2:S2"/>
  </mergeCells>
  <pageMargins left="0.4" right="0.4" top="0.5" bottom="0.5" header="0.511811023622047" footer="0.511811023622047"/>
  <pageSetup fitToHeight="0" orientation="landscape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36A00"/>
    <pageSetUpPr fitToPage="1"/>
  </sheetPr>
  <dimension ref="A1:G15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8.6640625" defaultRowHeight="14.4" x14ac:dyDescent="0.3"/>
  <cols>
    <col min="1" max="1" width="21.44140625" bestFit="1" customWidth="1"/>
    <col min="2" max="2" width="15.88671875" bestFit="1" customWidth="1"/>
    <col min="3" max="3" width="20.44140625" bestFit="1" customWidth="1"/>
    <col min="4" max="4" width="20" bestFit="1" customWidth="1"/>
    <col min="5" max="5" width="14.21875" bestFit="1" customWidth="1"/>
    <col min="6" max="6" width="16.5546875" bestFit="1" customWidth="1"/>
    <col min="7" max="7" width="11" bestFit="1" customWidth="1"/>
  </cols>
  <sheetData>
    <row r="1" spans="1:7" ht="19.5" customHeight="1" x14ac:dyDescent="0.3">
      <c r="A1" s="51" t="s">
        <v>704</v>
      </c>
      <c r="B1" s="51"/>
      <c r="C1" s="51"/>
      <c r="D1" s="51"/>
      <c r="E1" s="51"/>
      <c r="F1" s="51"/>
      <c r="G1" s="51"/>
    </row>
    <row r="2" spans="1:7" ht="15.75" customHeight="1" x14ac:dyDescent="0.3">
      <c r="A2" s="52" t="s">
        <v>705</v>
      </c>
      <c r="B2" s="52"/>
      <c r="C2" s="52"/>
      <c r="D2" s="52"/>
      <c r="E2" s="52"/>
      <c r="F2" s="52"/>
      <c r="G2" s="52"/>
    </row>
    <row r="4" spans="1:7" ht="19.5" customHeight="1" x14ac:dyDescent="0.3">
      <c r="A4" s="15" t="s">
        <v>41</v>
      </c>
      <c r="B4" s="15" t="s">
        <v>23</v>
      </c>
      <c r="C4" s="15" t="s">
        <v>42</v>
      </c>
      <c r="D4" s="15" t="s">
        <v>43</v>
      </c>
      <c r="E4" s="15" t="s">
        <v>44</v>
      </c>
      <c r="F4" s="15" t="s">
        <v>45</v>
      </c>
      <c r="G4" s="15" t="s">
        <v>706</v>
      </c>
    </row>
    <row r="5" spans="1:7" x14ac:dyDescent="0.3">
      <c r="A5" s="31" t="s">
        <v>51</v>
      </c>
      <c r="B5" s="31" t="s">
        <v>26</v>
      </c>
      <c r="C5" s="32">
        <v>33</v>
      </c>
      <c r="D5" s="32">
        <v>32</v>
      </c>
      <c r="E5" s="32">
        <v>1</v>
      </c>
      <c r="F5" s="33">
        <v>3.125E-2</v>
      </c>
      <c r="G5" s="31" t="s">
        <v>707</v>
      </c>
    </row>
    <row r="6" spans="1:7" x14ac:dyDescent="0.3">
      <c r="A6" s="35" t="s">
        <v>55</v>
      </c>
      <c r="B6" s="35" t="s">
        <v>28</v>
      </c>
      <c r="C6" s="36">
        <v>3</v>
      </c>
      <c r="D6" s="36">
        <v>2.2000000000000002</v>
      </c>
      <c r="E6" s="36">
        <v>0.8</v>
      </c>
      <c r="F6" s="37">
        <v>0.36363636363636398</v>
      </c>
      <c r="G6" s="35" t="s">
        <v>707</v>
      </c>
    </row>
    <row r="7" spans="1:7" x14ac:dyDescent="0.3">
      <c r="A7" s="31" t="s">
        <v>57</v>
      </c>
      <c r="B7" s="31" t="s">
        <v>26</v>
      </c>
      <c r="C7" s="32">
        <v>31</v>
      </c>
      <c r="D7" s="32">
        <v>72</v>
      </c>
      <c r="E7" s="32">
        <v>-41</v>
      </c>
      <c r="F7" s="33">
        <v>-0.56944444444444398</v>
      </c>
      <c r="G7" s="31" t="s">
        <v>707</v>
      </c>
    </row>
    <row r="8" spans="1:7" x14ac:dyDescent="0.3">
      <c r="A8" s="35" t="s">
        <v>59</v>
      </c>
      <c r="B8" s="35" t="s">
        <v>27</v>
      </c>
      <c r="C8" s="38" t="s">
        <v>60</v>
      </c>
      <c r="D8" s="38" t="s">
        <v>61</v>
      </c>
      <c r="E8" s="38"/>
      <c r="F8" s="37"/>
      <c r="G8" s="35" t="s">
        <v>707</v>
      </c>
    </row>
    <row r="9" spans="1:7" x14ac:dyDescent="0.3">
      <c r="A9" s="31" t="s">
        <v>59</v>
      </c>
      <c r="B9" s="31" t="s">
        <v>26</v>
      </c>
      <c r="C9" s="32">
        <v>3</v>
      </c>
      <c r="D9" s="32">
        <v>72</v>
      </c>
      <c r="E9" s="32">
        <v>-69</v>
      </c>
      <c r="F9" s="33">
        <v>-0.95833333333333404</v>
      </c>
      <c r="G9" s="31" t="s">
        <v>707</v>
      </c>
    </row>
    <row r="10" spans="1:7" x14ac:dyDescent="0.3">
      <c r="A10" s="35" t="s">
        <v>63</v>
      </c>
      <c r="B10" s="35" t="s">
        <v>27</v>
      </c>
      <c r="C10" s="38" t="s">
        <v>64</v>
      </c>
      <c r="D10" s="38" t="s">
        <v>65</v>
      </c>
      <c r="E10" s="38"/>
      <c r="F10" s="37"/>
      <c r="G10" s="35" t="s">
        <v>707</v>
      </c>
    </row>
    <row r="11" spans="1:7" x14ac:dyDescent="0.3">
      <c r="A11" s="31" t="s">
        <v>63</v>
      </c>
      <c r="B11" s="31" t="s">
        <v>26</v>
      </c>
      <c r="C11" s="32">
        <v>31</v>
      </c>
      <c r="D11" s="32">
        <v>80</v>
      </c>
      <c r="E11" s="32">
        <v>-49</v>
      </c>
      <c r="F11" s="33">
        <v>-0.61250000000000004</v>
      </c>
      <c r="G11" s="31" t="s">
        <v>707</v>
      </c>
    </row>
    <row r="12" spans="1:7" x14ac:dyDescent="0.3">
      <c r="A12" s="35" t="s">
        <v>67</v>
      </c>
      <c r="B12" s="35" t="s">
        <v>26</v>
      </c>
      <c r="C12" s="36">
        <v>64</v>
      </c>
      <c r="D12" s="36">
        <v>72</v>
      </c>
      <c r="E12" s="36">
        <v>-8</v>
      </c>
      <c r="F12" s="37">
        <v>-0.11111111111111099</v>
      </c>
      <c r="G12" s="35" t="s">
        <v>707</v>
      </c>
    </row>
    <row r="13" spans="1:7" x14ac:dyDescent="0.3">
      <c r="A13" s="31" t="s">
        <v>69</v>
      </c>
      <c r="B13" s="31" t="s">
        <v>26</v>
      </c>
      <c r="C13" s="32">
        <v>64</v>
      </c>
      <c r="D13" s="32">
        <v>80</v>
      </c>
      <c r="E13" s="32">
        <v>-16</v>
      </c>
      <c r="F13" s="33">
        <v>-0.2</v>
      </c>
      <c r="G13" s="31" t="s">
        <v>707</v>
      </c>
    </row>
    <row r="14" spans="1:7" x14ac:dyDescent="0.3">
      <c r="A14" s="35" t="s">
        <v>71</v>
      </c>
      <c r="B14" s="35" t="s">
        <v>27</v>
      </c>
      <c r="C14" s="38" t="s">
        <v>72</v>
      </c>
      <c r="D14" s="38" t="s">
        <v>73</v>
      </c>
      <c r="E14" s="38"/>
      <c r="F14" s="37"/>
      <c r="G14" s="35" t="s">
        <v>707</v>
      </c>
    </row>
    <row r="15" spans="1:7" x14ac:dyDescent="0.3">
      <c r="A15" s="31" t="s">
        <v>75</v>
      </c>
      <c r="B15" s="31" t="s">
        <v>27</v>
      </c>
      <c r="C15" s="34" t="s">
        <v>76</v>
      </c>
      <c r="D15" s="34" t="s">
        <v>77</v>
      </c>
      <c r="E15" s="34"/>
      <c r="F15" s="33"/>
      <c r="G15" s="31" t="s">
        <v>707</v>
      </c>
    </row>
  </sheetData>
  <autoFilter ref="A4:G15" xr:uid="{00000000-0009-0000-0000-000005000000}"/>
  <mergeCells count="2">
    <mergeCell ref="A1:G1"/>
    <mergeCell ref="A2:G2"/>
  </mergeCells>
  <conditionalFormatting sqref="G5:G15">
    <cfRule type="cellIs" dxfId="3" priority="2" operator="equal">
      <formula>"Mismatch"</formula>
    </cfRule>
  </conditionalFormatting>
  <pageMargins left="0.4" right="0.4" top="0.5" bottom="0.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  <pageSetUpPr fitToPage="1"/>
  </sheetPr>
  <dimension ref="A1:G15"/>
  <sheetViews>
    <sheetView showGridLines="0" zoomScaleNormal="100" workbookViewId="0">
      <selection activeCell="A5" sqref="A5"/>
    </sheetView>
  </sheetViews>
  <sheetFormatPr defaultColWidth="8.6640625" defaultRowHeight="14.4" x14ac:dyDescent="0.3"/>
  <cols>
    <col min="1" max="1" width="34" customWidth="1"/>
    <col min="2" max="3" width="20" customWidth="1"/>
    <col min="4" max="4" width="16" customWidth="1"/>
    <col min="5" max="5" width="6" customWidth="1"/>
  </cols>
  <sheetData>
    <row r="1" spans="1:7" ht="19.5" customHeight="1" x14ac:dyDescent="0.3">
      <c r="A1" s="51" t="s">
        <v>708</v>
      </c>
      <c r="B1" s="51"/>
      <c r="C1" s="51"/>
      <c r="D1" s="51"/>
      <c r="E1" s="51"/>
    </row>
    <row r="2" spans="1:7" ht="15.75" customHeight="1" x14ac:dyDescent="0.3">
      <c r="A2" s="52" t="s">
        <v>709</v>
      </c>
      <c r="B2" s="52"/>
      <c r="C2" s="52"/>
      <c r="D2" s="52"/>
      <c r="E2" s="52"/>
      <c r="F2" s="52"/>
      <c r="G2" s="52"/>
    </row>
    <row r="4" spans="1:7" ht="19.5" customHeight="1" x14ac:dyDescent="0.3">
      <c r="A4" s="15" t="s">
        <v>710</v>
      </c>
      <c r="B4" s="15" t="s">
        <v>711</v>
      </c>
      <c r="C4" s="15" t="s">
        <v>712</v>
      </c>
      <c r="D4" s="15" t="s">
        <v>706</v>
      </c>
    </row>
    <row r="5" spans="1:7" x14ac:dyDescent="0.3">
      <c r="A5" s="25" t="s">
        <v>713</v>
      </c>
      <c r="B5" s="43">
        <f>COUNTA('03 Matched Records'!C5:C546)+SUM('02 Exceptions'!L5:L15)+COUNTA('05 Missing - Portal'!A5:A14)</f>
        <v>561</v>
      </c>
      <c r="C5" s="43">
        <f>COUNTA('03 Matched Records'!C5:C546)+SUM('02 Exceptions'!L5:L15)+COUNTA('04 Missing - Books'!A5:A14)</f>
        <v>561</v>
      </c>
      <c r="D5" s="44" t="str">
        <f>IF(B5=C5,"Pass","Review")</f>
        <v>Pass</v>
      </c>
    </row>
    <row r="6" spans="1:7" x14ac:dyDescent="0.3">
      <c r="A6" s="28" t="s">
        <v>714</v>
      </c>
      <c r="B6" s="45">
        <f>COUNTA('03 Matched Records'!C5:C546)</f>
        <v>542</v>
      </c>
      <c r="C6" s="45">
        <f>COUNTA('03 Matched Records'!C5:C546)</f>
        <v>542</v>
      </c>
      <c r="D6" s="46" t="str">
        <f>IF(B6=C6,"Pass","Review")</f>
        <v>Pass</v>
      </c>
    </row>
    <row r="7" spans="1:7" x14ac:dyDescent="0.3">
      <c r="A7" s="25" t="s">
        <v>715</v>
      </c>
      <c r="B7" s="43">
        <f>SUM('02 Exceptions'!L5:L15)</f>
        <v>9</v>
      </c>
      <c r="C7" s="43">
        <f>SUM('02 Exceptions'!L5:L15)</f>
        <v>9</v>
      </c>
      <c r="D7" s="44" t="str">
        <f>IF(B7=0,"Pass","Review Required")</f>
        <v>Review Required</v>
      </c>
    </row>
    <row r="8" spans="1:7" x14ac:dyDescent="0.3">
      <c r="A8" s="28" t="s">
        <v>716</v>
      </c>
      <c r="B8" s="45">
        <f>COUNTA('04 Missing - Books'!A5:A14)</f>
        <v>10</v>
      </c>
      <c r="C8" s="45" t="s">
        <v>717</v>
      </c>
      <c r="D8" s="46" t="str">
        <f>IF(B8=0,"Pass","Review Required")</f>
        <v>Review Required</v>
      </c>
    </row>
    <row r="9" spans="1:7" x14ac:dyDescent="0.3">
      <c r="A9" s="25" t="s">
        <v>718</v>
      </c>
      <c r="B9" s="43" t="s">
        <v>717</v>
      </c>
      <c r="C9" s="43">
        <f>COUNTA('05 Missing - Portal'!A5:A14)</f>
        <v>10</v>
      </c>
      <c r="D9" s="44" t="str">
        <f>IF(C9=0,"Pass","Review Required")</f>
        <v>Review Required</v>
      </c>
    </row>
    <row r="11" spans="1:7" x14ac:dyDescent="0.3">
      <c r="A11" s="47" t="s">
        <v>719</v>
      </c>
    </row>
    <row r="12" spans="1:7" x14ac:dyDescent="0.3">
      <c r="A12" s="53" t="s">
        <v>720</v>
      </c>
      <c r="B12" s="53"/>
      <c r="C12" s="53"/>
      <c r="D12" s="53"/>
    </row>
    <row r="13" spans="1:7" x14ac:dyDescent="0.3">
      <c r="A13" s="53" t="s">
        <v>721</v>
      </c>
      <c r="B13" s="53"/>
      <c r="C13" s="53"/>
      <c r="D13" s="53"/>
    </row>
    <row r="14" spans="1:7" x14ac:dyDescent="0.3">
      <c r="A14" s="53" t="s">
        <v>722</v>
      </c>
      <c r="B14" s="53"/>
      <c r="C14" s="53"/>
      <c r="D14" s="53"/>
    </row>
    <row r="15" spans="1:7" x14ac:dyDescent="0.3">
      <c r="A15" s="53" t="s">
        <v>723</v>
      </c>
      <c r="B15" s="53"/>
      <c r="C15" s="53"/>
      <c r="D15" s="53"/>
    </row>
  </sheetData>
  <mergeCells count="6">
    <mergeCell ref="A15:D15"/>
    <mergeCell ref="A1:E1"/>
    <mergeCell ref="A2:G2"/>
    <mergeCell ref="A12:D12"/>
    <mergeCell ref="A13:D13"/>
    <mergeCell ref="A14:D14"/>
  </mergeCells>
  <conditionalFormatting sqref="D5:D9">
    <cfRule type="cellIs" dxfId="2" priority="2" operator="equal">
      <formula>"Pass"</formula>
    </cfRule>
    <cfRule type="cellIs" dxfId="1" priority="3" operator="equal">
      <formula>"Review"</formula>
    </cfRule>
    <cfRule type="cellIs" dxfId="0" priority="4" operator="equal">
      <formula>"Review Required"</formula>
    </cfRule>
  </conditionalFormatting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01 Executive Summary</vt:lpstr>
      <vt:lpstr>02 Exceptions</vt:lpstr>
      <vt:lpstr>03 Matched Records</vt:lpstr>
      <vt:lpstr>04 Missing - Books</vt:lpstr>
      <vt:lpstr>05 Missing - Portal</vt:lpstr>
      <vt:lpstr>06 Field Differences</vt:lpstr>
      <vt:lpstr>07 Control Checks</vt:lpstr>
      <vt:lpstr>'01 Executive Summary'!Print_Area</vt:lpstr>
      <vt:lpstr>'02 Exceptions'!Print_Area</vt:lpstr>
      <vt:lpstr>'03 Matched Records'!Print_Area</vt:lpstr>
      <vt:lpstr>'04 Missing - Books'!Print_Area</vt:lpstr>
      <vt:lpstr>'05 Missing - Portal'!Print_Area</vt:lpstr>
      <vt:lpstr>'06 Field Differences'!Print_Area</vt:lpstr>
      <vt:lpstr>'07 Control Checks'!Print_Area</vt:lpstr>
      <vt:lpstr>'02 Exceptions'!Print_Titles</vt:lpstr>
      <vt:lpstr>'03 Matched Records'!Print_Titles</vt:lpstr>
      <vt:lpstr>'04 Missing - Books'!Print_Titles</vt:lpstr>
      <vt:lpstr>'05 Missing - Portal'!Print_Titles</vt:lpstr>
      <vt:lpstr>'06 Field Differences'!Print_Titles</vt:lpstr>
      <vt:lpstr>'07 Control Checks'!Print_Titles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Jai Jagdev</cp:lastModifiedBy>
  <cp:revision>1</cp:revision>
  <dcterms:created xsi:type="dcterms:W3CDTF">2026-08-21T12:30:34Z</dcterms:created>
  <dcterms:modified xsi:type="dcterms:W3CDTF">2026-08-21T12:39:06Z</dcterms:modified>
  <dc:language>en-US</dc:language>
</cp:coreProperties>
</file>